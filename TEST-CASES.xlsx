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ngkasan" sheetId="1" state="visible" r:id="rId1"/>
    <sheet name="Petunjuk &amp; Akun" sheetId="2" state="visible" r:id="rId2"/>
    <sheet name="Test Case" sheetId="3" state="visible" r:id="rId3"/>
    <sheet name="Daftar Bug" sheetId="4" state="visible" r:id="rId4"/>
  </sheets>
  <definedNames>
    <definedName name="_xlnm._FilterDatabase" localSheetId="2" hidden="1">'Test Case'!$A$1:$L$261</definedName>
    <definedName name="_xlnm.Print_Titles" localSheetId="2">'Test Case'!$1:$1</definedName>
    <definedName name="_xlnm._FilterDatabase" localSheetId="3" hidden="1">'Daftar Bug'!$A$1:$H$25</definedName>
  </definedNames>
  <calcPr calcId="124519" fullCalcOnLoad="1"/>
</workbook>
</file>

<file path=xl/styles.xml><?xml version="1.0" encoding="utf-8"?>
<styleSheet xmlns="http://schemas.openxmlformats.org/spreadsheetml/2006/main">
  <numFmts count="1">
    <numFmt numFmtId="164" formatCode="dd/mm/yyyy"/>
  </numFmts>
  <fonts count="12">
    <font>
      <name val="Calibri"/>
      <family val="2"/>
      <color theme="1"/>
      <sz val="11"/>
      <scheme val="minor"/>
    </font>
    <font>
      <name val="Arial"/>
      <b val="1"/>
      <color rgb="00FFFFFF"/>
      <sz val="10"/>
    </font>
    <font>
      <name val="Arial"/>
      <sz val="10"/>
    </font>
    <font>
      <name val="Arial"/>
      <b val="1"/>
      <color rgb="00C00000"/>
      <sz val="10"/>
    </font>
    <font>
      <name val="Arial"/>
      <b val="1"/>
      <color rgb="00C65911"/>
      <sz val="10"/>
    </font>
    <font>
      <name val="Arial"/>
      <b val="1"/>
      <color rgb="007F6000"/>
      <sz val="10"/>
    </font>
    <font>
      <name val="Arial"/>
      <b val="1"/>
      <color rgb="00375623"/>
      <sz val="10"/>
    </font>
    <font>
      <name val="Arial"/>
      <b val="1"/>
      <color rgb="001F4E78"/>
      <sz val="14"/>
    </font>
    <font>
      <name val="Arial"/>
      <i val="1"/>
      <color rgb="00595959"/>
      <sz val="10"/>
    </font>
    <font>
      <name val="Arial"/>
      <b val="1"/>
      <sz val="10"/>
    </font>
    <font>
      <name val="Arial"/>
      <b val="1"/>
      <color rgb="00000000"/>
      <sz val="10"/>
    </font>
    <font>
      <name val="Arial"/>
      <b val="1"/>
      <color rgb="001F4E78"/>
      <sz val="13"/>
    </font>
  </fonts>
  <fills count="5">
    <fill>
      <patternFill/>
    </fill>
    <fill>
      <patternFill patternType="gray125"/>
    </fill>
    <fill>
      <patternFill patternType="solid">
        <fgColor rgb="001F4E78"/>
      </patternFill>
    </fill>
    <fill>
      <patternFill patternType="solid">
        <fgColor rgb="00FFF2CC"/>
      </patternFill>
    </fill>
    <fill>
      <patternFill patternType="solid">
        <fgColor rgb="00DDEBF7"/>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2">
    <xf numFmtId="0" fontId="0" fillId="0" borderId="0" pivotButton="0" quotePrefix="0" xfId="0"/>
    <xf numFmtId="0" fontId="7" fillId="0" borderId="0" pivotButton="0" quotePrefix="0" xfId="0"/>
    <xf numFmtId="0" fontId="8"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xf>
    <xf numFmtId="9" fontId="2" fillId="0" borderId="1" applyAlignment="1" pivotButton="0" quotePrefix="0" xfId="0">
      <alignment horizontal="center" vertical="center"/>
    </xf>
    <xf numFmtId="0" fontId="9" fillId="4" borderId="1" applyAlignment="1" pivotButton="0" quotePrefix="0" xfId="0">
      <alignment horizontal="left" vertical="center" wrapText="1"/>
    </xf>
    <xf numFmtId="0" fontId="9" fillId="4" borderId="1" applyAlignment="1" pivotButton="0" quotePrefix="0" xfId="0">
      <alignment horizontal="center" vertical="center"/>
    </xf>
    <xf numFmtId="9" fontId="9" fillId="4" borderId="1" applyAlignment="1" pivotButton="0" quotePrefix="0" xfId="0">
      <alignment horizontal="center" vertical="center"/>
    </xf>
    <xf numFmtId="0" fontId="3" fillId="0" borderId="1" applyAlignment="1" pivotButton="0" quotePrefix="0" xfId="0">
      <alignment horizontal="left" vertical="center"/>
    </xf>
    <xf numFmtId="0" fontId="2" fillId="0" borderId="1" applyAlignment="1" pivotButton="0" quotePrefix="0" xfId="0">
      <alignment horizontal="center" vertical="center"/>
    </xf>
    <xf numFmtId="0" fontId="4" fillId="0" borderId="1" applyAlignment="1" pivotButton="0" quotePrefix="0" xfId="0">
      <alignment horizontal="left" vertical="center"/>
    </xf>
    <xf numFmtId="0" fontId="5" fillId="0" borderId="1" applyAlignment="1" pivotButton="0" quotePrefix="0" xfId="0">
      <alignment horizontal="left" vertical="center"/>
    </xf>
    <xf numFmtId="0" fontId="6" fillId="0" borderId="1" applyAlignment="1" pivotButton="0" quotePrefix="0" xfId="0">
      <alignment horizontal="left" vertical="center"/>
    </xf>
    <xf numFmtId="0" fontId="9" fillId="4" borderId="1" applyAlignment="1" pivotButton="0" quotePrefix="0" xfId="0">
      <alignment horizontal="left" vertical="center"/>
    </xf>
    <xf numFmtId="0" fontId="9" fillId="4" borderId="1" applyAlignment="1" pivotButton="0" quotePrefix="0" xfId="0">
      <alignment horizontal="center" vertical="center"/>
    </xf>
    <xf numFmtId="0" fontId="11" fillId="0" borderId="0" pivotButton="0" quotePrefix="0" xfId="0"/>
    <xf numFmtId="0" fontId="9" fillId="3" borderId="0" applyAlignment="1" pivotButton="0" quotePrefix="0" xfId="0">
      <alignment vertical="top"/>
    </xf>
    <xf numFmtId="0" fontId="2" fillId="0" borderId="0" applyAlignment="1" pivotButton="0" quotePrefix="0" xfId="0">
      <alignment vertical="top" wrapText="1"/>
    </xf>
    <xf numFmtId="0" fontId="9" fillId="0" borderId="0" applyAlignment="1" pivotButton="0" quotePrefix="0" xfId="0">
      <alignment vertical="top"/>
    </xf>
    <xf numFmtId="0" fontId="2" fillId="0" borderId="1" applyAlignment="1" pivotButton="0" quotePrefix="0" xfId="0">
      <alignment vertical="top" wrapText="1"/>
    </xf>
    <xf numFmtId="0" fontId="0" fillId="0" borderId="4" pivotButton="0" quotePrefix="0" xfId="0"/>
    <xf numFmtId="0" fontId="0" fillId="0" borderId="5" pivotButton="0" quotePrefix="0" xfId="0"/>
    <xf numFmtId="0" fontId="2" fillId="0" borderId="1" applyAlignment="1" pivotButton="0" quotePrefix="0" xfId="0">
      <alignment horizontal="center" vertical="top" wrapText="1"/>
    </xf>
    <xf numFmtId="0" fontId="2" fillId="3" borderId="1" applyAlignment="1" pivotButton="0" quotePrefix="0" xfId="0">
      <alignment horizontal="center" vertical="top" wrapText="1"/>
    </xf>
    <xf numFmtId="0" fontId="2" fillId="3" borderId="1" applyAlignment="1" pivotButton="0" quotePrefix="0" xfId="0">
      <alignment vertical="top" wrapText="1"/>
    </xf>
    <xf numFmtId="164" fontId="2" fillId="3" borderId="1" applyAlignment="1" pivotButton="0" quotePrefix="0" xfId="0">
      <alignment horizontal="center" vertical="top" wrapText="1"/>
    </xf>
    <xf numFmtId="0" fontId="3" fillId="0" borderId="1" applyAlignment="1" pivotButton="0" quotePrefix="0" xfId="0">
      <alignment horizontal="center" vertical="top" wrapText="1"/>
    </xf>
    <xf numFmtId="0" fontId="4" fillId="0" borderId="1" applyAlignment="1" pivotButton="0" quotePrefix="0" xfId="0">
      <alignment horizontal="center" vertical="top" wrapText="1"/>
    </xf>
    <xf numFmtId="0" fontId="5" fillId="0" borderId="1" applyAlignment="1" pivotButton="0" quotePrefix="0" xfId="0">
      <alignment horizontal="center" vertical="top" wrapText="1"/>
    </xf>
    <xf numFmtId="0" fontId="6" fillId="0" borderId="1" applyAlignment="1" pivotButton="0" quotePrefix="0" xfId="0">
      <alignment horizontal="center" vertical="top" wrapText="1"/>
    </xf>
  </cellXfs>
  <cellStyles count="1">
    <cellStyle name="Normal" xfId="0" builtinId="0" hidden="0"/>
  </cellStyles>
  <dxfs count="4">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
      <font>
        <name val="Arial"/>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44" customWidth="1" min="1" max="1"/>
    <col width="13" customWidth="1" min="2" max="2"/>
    <col width="13" customWidth="1" min="3" max="3"/>
    <col width="13" customWidth="1" min="4" max="4"/>
    <col width="13" customWidth="1" min="5" max="5"/>
    <col width="13" customWidth="1" min="6" max="6"/>
    <col width="13" customWidth="1" min="7" max="7"/>
  </cols>
  <sheetData>
    <row r="1">
      <c r="A1" s="1" t="inlineStr">
        <is>
          <t>Ringkasan Pengujian Aplikasi Travel</t>
        </is>
      </c>
    </row>
    <row r="2">
      <c r="A2" s="2" t="inlineStr">
        <is>
          <t>Semua angka di bawah terhitung otomatis dari sheet 'Test Case' dan 'Daftar Bug'.</t>
        </is>
      </c>
    </row>
    <row r="4">
      <c r="A4" s="3" t="inlineStr">
        <is>
          <t>Modul / Role</t>
        </is>
      </c>
      <c r="B4" s="3" t="inlineStr">
        <is>
          <t>Total</t>
        </is>
      </c>
      <c r="C4" s="3" t="inlineStr">
        <is>
          <t>Sudah Dicek</t>
        </is>
      </c>
      <c r="D4" s="3" t="inlineStr">
        <is>
          <t>PASS</t>
        </is>
      </c>
      <c r="E4" s="3" t="inlineStr">
        <is>
          <t>FAIL</t>
        </is>
      </c>
      <c r="F4" s="3" t="inlineStr">
        <is>
          <t>BLOCKED</t>
        </is>
      </c>
      <c r="G4" s="3" t="inlineStr">
        <is>
          <t>Progres</t>
        </is>
      </c>
    </row>
    <row r="5">
      <c r="A5" s="4" t="inlineStr">
        <is>
          <t>Autentikasi</t>
        </is>
      </c>
      <c r="B5" s="5">
        <f>COUNTIF('Test Case'!$B:$B,$A5)</f>
        <v/>
      </c>
      <c r="C5" s="5">
        <f>COUNTIFS('Test Case'!$B:$B,$A5,'Test Case'!$H:$H,"✔")</f>
        <v/>
      </c>
      <c r="D5" s="5">
        <f>COUNTIFS('Test Case'!$B:$B,$A5,'Test Case'!$I:$I,"PASS")</f>
        <v/>
      </c>
      <c r="E5" s="5">
        <f>COUNTIFS('Test Case'!$B:$B,$A5,'Test Case'!$I:$I,"FAIL")</f>
        <v/>
      </c>
      <c r="F5" s="5">
        <f>COUNTIFS('Test Case'!$B:$B,$A5,'Test Case'!$I:$I,"BLOCKED")</f>
        <v/>
      </c>
      <c r="G5" s="6">
        <f>IF(B5=0,0,C5/B5)</f>
        <v/>
      </c>
    </row>
    <row r="6">
      <c r="A6" s="4" t="inlineStr">
        <is>
          <t>Kontrol akses antar role</t>
        </is>
      </c>
      <c r="B6" s="5">
        <f>COUNTIF('Test Case'!$B:$B,$A6)</f>
        <v/>
      </c>
      <c r="C6" s="5">
        <f>COUNTIFS('Test Case'!$B:$B,$A6,'Test Case'!$H:$H,"✔")</f>
        <v/>
      </c>
      <c r="D6" s="5">
        <f>COUNTIFS('Test Case'!$B:$B,$A6,'Test Case'!$I:$I,"PASS")</f>
        <v/>
      </c>
      <c r="E6" s="5">
        <f>COUNTIFS('Test Case'!$B:$B,$A6,'Test Case'!$I:$I,"FAIL")</f>
        <v/>
      </c>
      <c r="F6" s="5">
        <f>COUNTIFS('Test Case'!$B:$B,$A6,'Test Case'!$I:$I,"BLOCKED")</f>
        <v/>
      </c>
      <c r="G6" s="6">
        <f>IF(B6=0,0,C6/B6)</f>
        <v/>
      </c>
    </row>
    <row r="7">
      <c r="A7" s="4" t="inlineStr">
        <is>
          <t>Publik / Tamu (tanpa login)</t>
        </is>
      </c>
      <c r="B7" s="5">
        <f>COUNTIF('Test Case'!$B:$B,$A7)</f>
        <v/>
      </c>
      <c r="C7" s="5">
        <f>COUNTIFS('Test Case'!$B:$B,$A7,'Test Case'!$H:$H,"✔")</f>
        <v/>
      </c>
      <c r="D7" s="5">
        <f>COUNTIFS('Test Case'!$B:$B,$A7,'Test Case'!$I:$I,"PASS")</f>
        <v/>
      </c>
      <c r="E7" s="5">
        <f>COUNTIFS('Test Case'!$B:$B,$A7,'Test Case'!$I:$I,"FAIL")</f>
        <v/>
      </c>
      <c r="F7" s="5">
        <f>COUNTIFS('Test Case'!$B:$B,$A7,'Test Case'!$I:$I,"BLOCKED")</f>
        <v/>
      </c>
      <c r="G7" s="6">
        <f>IF(B7=0,0,C7/B7)</f>
        <v/>
      </c>
    </row>
    <row r="8">
      <c r="A8" s="4" t="inlineStr">
        <is>
          <t>Penumpang (role user) › Dashboard &amp; pencarian</t>
        </is>
      </c>
      <c r="B8" s="5">
        <f>COUNTIF('Test Case'!$B:$B,$A8)</f>
        <v/>
      </c>
      <c r="C8" s="5">
        <f>COUNTIFS('Test Case'!$B:$B,$A8,'Test Case'!$H:$H,"✔")</f>
        <v/>
      </c>
      <c r="D8" s="5">
        <f>COUNTIFS('Test Case'!$B:$B,$A8,'Test Case'!$I:$I,"PASS")</f>
        <v/>
      </c>
      <c r="E8" s="5">
        <f>COUNTIFS('Test Case'!$B:$B,$A8,'Test Case'!$I:$I,"FAIL")</f>
        <v/>
      </c>
      <c r="F8" s="5">
        <f>COUNTIFS('Test Case'!$B:$B,$A8,'Test Case'!$I:$I,"BLOCKED")</f>
        <v/>
      </c>
      <c r="G8" s="6">
        <f>IF(B8=0,0,C8/B8)</f>
        <v/>
      </c>
    </row>
    <row r="9">
      <c r="A9" s="4" t="inlineStr">
        <is>
          <t>Penumpang (role user) › Booking &amp; pembayaran</t>
        </is>
      </c>
      <c r="B9" s="5">
        <f>COUNTIF('Test Case'!$B:$B,$A9)</f>
        <v/>
      </c>
      <c r="C9" s="5">
        <f>COUNTIFS('Test Case'!$B:$B,$A9,'Test Case'!$H:$H,"✔")</f>
        <v/>
      </c>
      <c r="D9" s="5">
        <f>COUNTIFS('Test Case'!$B:$B,$A9,'Test Case'!$I:$I,"PASS")</f>
        <v/>
      </c>
      <c r="E9" s="5">
        <f>COUNTIFS('Test Case'!$B:$B,$A9,'Test Case'!$I:$I,"FAIL")</f>
        <v/>
      </c>
      <c r="F9" s="5">
        <f>COUNTIFS('Test Case'!$B:$B,$A9,'Test Case'!$I:$I,"BLOCKED")</f>
        <v/>
      </c>
      <c r="G9" s="6">
        <f>IF(B9=0,0,C9/B9)</f>
        <v/>
      </c>
    </row>
    <row r="10">
      <c r="A10" s="4" t="inlineStr">
        <is>
          <t>Penumpang (role user) › Tiket saya, check-in, refund, ulasan</t>
        </is>
      </c>
      <c r="B10" s="5">
        <f>COUNTIF('Test Case'!$B:$B,$A10)</f>
        <v/>
      </c>
      <c r="C10" s="5">
        <f>COUNTIFS('Test Case'!$B:$B,$A10,'Test Case'!$H:$H,"✔")</f>
        <v/>
      </c>
      <c r="D10" s="5">
        <f>COUNTIFS('Test Case'!$B:$B,$A10,'Test Case'!$I:$I,"PASS")</f>
        <v/>
      </c>
      <c r="E10" s="5">
        <f>COUNTIFS('Test Case'!$B:$B,$A10,'Test Case'!$I:$I,"FAIL")</f>
        <v/>
      </c>
      <c r="F10" s="5">
        <f>COUNTIFS('Test Case'!$B:$B,$A10,'Test Case'!$I:$I,"BLOCKED")</f>
        <v/>
      </c>
      <c r="G10" s="6">
        <f>IF(B10=0,0,C10/B10)</f>
        <v/>
      </c>
    </row>
    <row r="11">
      <c r="A11" s="4" t="inlineStr">
        <is>
          <t>Penumpang (role user) › Promo, notifikasi, akun</t>
        </is>
      </c>
      <c r="B11" s="5">
        <f>COUNTIF('Test Case'!$B:$B,$A11)</f>
        <v/>
      </c>
      <c r="C11" s="5">
        <f>COUNTIFS('Test Case'!$B:$B,$A11,'Test Case'!$H:$H,"✔")</f>
        <v/>
      </c>
      <c r="D11" s="5">
        <f>COUNTIFS('Test Case'!$B:$B,$A11,'Test Case'!$I:$I,"PASS")</f>
        <v/>
      </c>
      <c r="E11" s="5">
        <f>COUNTIFS('Test Case'!$B:$B,$A11,'Test Case'!$I:$I,"FAIL")</f>
        <v/>
      </c>
      <c r="F11" s="5">
        <f>COUNTIFS('Test Case'!$B:$B,$A11,'Test Case'!$I:$I,"BLOCKED")</f>
        <v/>
      </c>
      <c r="G11" s="6">
        <f>IF(B11=0,0,C11/B11)</f>
        <v/>
      </c>
    </row>
    <row r="12">
      <c r="A12" s="4" t="inlineStr">
        <is>
          <t>Admin Utama (role admin_utama) › Dashboard</t>
        </is>
      </c>
      <c r="B12" s="5">
        <f>COUNTIF('Test Case'!$B:$B,$A12)</f>
        <v/>
      </c>
      <c r="C12" s="5">
        <f>COUNTIFS('Test Case'!$B:$B,$A12,'Test Case'!$H:$H,"✔")</f>
        <v/>
      </c>
      <c r="D12" s="5">
        <f>COUNTIFS('Test Case'!$B:$B,$A12,'Test Case'!$I:$I,"PASS")</f>
        <v/>
      </c>
      <c r="E12" s="5">
        <f>COUNTIFS('Test Case'!$B:$B,$A12,'Test Case'!$I:$I,"FAIL")</f>
        <v/>
      </c>
      <c r="F12" s="5">
        <f>COUNTIFS('Test Case'!$B:$B,$A12,'Test Case'!$I:$I,"BLOCKED")</f>
        <v/>
      </c>
      <c r="G12" s="6">
        <f>IF(B12=0,0,C12/B12)</f>
        <v/>
      </c>
    </row>
    <row r="13">
      <c r="A13" s="4" t="inlineStr">
        <is>
          <t>Admin Utama (role admin_utama) › Kelola User (pelanggan)</t>
        </is>
      </c>
      <c r="B13" s="5">
        <f>COUNTIF('Test Case'!$B:$B,$A13)</f>
        <v/>
      </c>
      <c r="C13" s="5">
        <f>COUNTIFS('Test Case'!$B:$B,$A13,'Test Case'!$H:$H,"✔")</f>
        <v/>
      </c>
      <c r="D13" s="5">
        <f>COUNTIFS('Test Case'!$B:$B,$A13,'Test Case'!$I:$I,"PASS")</f>
        <v/>
      </c>
      <c r="E13" s="5">
        <f>COUNTIFS('Test Case'!$B:$B,$A13,'Test Case'!$I:$I,"FAIL")</f>
        <v/>
      </c>
      <c r="F13" s="5">
        <f>COUNTIFS('Test Case'!$B:$B,$A13,'Test Case'!$I:$I,"BLOCKED")</f>
        <v/>
      </c>
      <c r="G13" s="6">
        <f>IF(B13=0,0,C13/B13)</f>
        <v/>
      </c>
    </row>
    <row r="14">
      <c r="A14" s="4" t="inlineStr">
        <is>
          <t>Admin Utama (role admin_utama) › Kelola Staff</t>
        </is>
      </c>
      <c r="B14" s="5">
        <f>COUNTIF('Test Case'!$B:$B,$A14)</f>
        <v/>
      </c>
      <c r="C14" s="5">
        <f>COUNTIFS('Test Case'!$B:$B,$A14,'Test Case'!$H:$H,"✔")</f>
        <v/>
      </c>
      <c r="D14" s="5">
        <f>COUNTIFS('Test Case'!$B:$B,$A14,'Test Case'!$I:$I,"PASS")</f>
        <v/>
      </c>
      <c r="E14" s="5">
        <f>COUNTIFS('Test Case'!$B:$B,$A14,'Test Case'!$I:$I,"FAIL")</f>
        <v/>
      </c>
      <c r="F14" s="5">
        <f>COUNTIFS('Test Case'!$B:$B,$A14,'Test Case'!$I:$I,"BLOCKED")</f>
        <v/>
      </c>
      <c r="G14" s="6">
        <f>IF(B14=0,0,C14/B14)</f>
        <v/>
      </c>
    </row>
    <row r="15">
      <c r="A15" s="4" t="inlineStr">
        <is>
          <t>Admin Utama (role admin_utama) › Kelola Driver</t>
        </is>
      </c>
      <c r="B15" s="5">
        <f>COUNTIF('Test Case'!$B:$B,$A15)</f>
        <v/>
      </c>
      <c r="C15" s="5">
        <f>COUNTIFS('Test Case'!$B:$B,$A15,'Test Case'!$H:$H,"✔")</f>
        <v/>
      </c>
      <c r="D15" s="5">
        <f>COUNTIFS('Test Case'!$B:$B,$A15,'Test Case'!$I:$I,"PASS")</f>
        <v/>
      </c>
      <c r="E15" s="5">
        <f>COUNTIFS('Test Case'!$B:$B,$A15,'Test Case'!$I:$I,"FAIL")</f>
        <v/>
      </c>
      <c r="F15" s="5">
        <f>COUNTIFS('Test Case'!$B:$B,$A15,'Test Case'!$I:$I,"BLOCKED")</f>
        <v/>
      </c>
      <c r="G15" s="6">
        <f>IF(B15=0,0,C15/B15)</f>
        <v/>
      </c>
    </row>
    <row r="16">
      <c r="A16" s="4" t="inlineStr">
        <is>
          <t>Admin Utama (role admin_utama) › Memantau Kendaraan</t>
        </is>
      </c>
      <c r="B16" s="5">
        <f>COUNTIF('Test Case'!$B:$B,$A16)</f>
        <v/>
      </c>
      <c r="C16" s="5">
        <f>COUNTIFS('Test Case'!$B:$B,$A16,'Test Case'!$H:$H,"✔")</f>
        <v/>
      </c>
      <c r="D16" s="5">
        <f>COUNTIFS('Test Case'!$B:$B,$A16,'Test Case'!$I:$I,"PASS")</f>
        <v/>
      </c>
      <c r="E16" s="5">
        <f>COUNTIFS('Test Case'!$B:$B,$A16,'Test Case'!$I:$I,"FAIL")</f>
        <v/>
      </c>
      <c r="F16" s="5">
        <f>COUNTIFS('Test Case'!$B:$B,$A16,'Test Case'!$I:$I,"BLOCKED")</f>
        <v/>
      </c>
      <c r="G16" s="6">
        <f>IF(B16=0,0,C16/B16)</f>
        <v/>
      </c>
    </row>
    <row r="17">
      <c r="A17" s="4" t="inlineStr">
        <is>
          <t>Admin Utama (role admin_utama) › Pemesanan (booking)</t>
        </is>
      </c>
      <c r="B17" s="5">
        <f>COUNTIF('Test Case'!$B:$B,$A17)</f>
        <v/>
      </c>
      <c r="C17" s="5">
        <f>COUNTIFS('Test Case'!$B:$B,$A17,'Test Case'!$H:$H,"✔")</f>
        <v/>
      </c>
      <c r="D17" s="5">
        <f>COUNTIFS('Test Case'!$B:$B,$A17,'Test Case'!$I:$I,"PASS")</f>
        <v/>
      </c>
      <c r="E17" s="5">
        <f>COUNTIFS('Test Case'!$B:$B,$A17,'Test Case'!$I:$I,"FAIL")</f>
        <v/>
      </c>
      <c r="F17" s="5">
        <f>COUNTIFS('Test Case'!$B:$B,$A17,'Test Case'!$I:$I,"BLOCKED")</f>
        <v/>
      </c>
      <c r="G17" s="6">
        <f>IF(B17=0,0,C17/B17)</f>
        <v/>
      </c>
    </row>
    <row r="18">
      <c r="A18" s="4" t="inlineStr">
        <is>
          <t>Admin Utama (role admin_utama) › Pembayaran</t>
        </is>
      </c>
      <c r="B18" s="5">
        <f>COUNTIF('Test Case'!$B:$B,$A18)</f>
        <v/>
      </c>
      <c r="C18" s="5">
        <f>COUNTIFS('Test Case'!$B:$B,$A18,'Test Case'!$H:$H,"✔")</f>
        <v/>
      </c>
      <c r="D18" s="5">
        <f>COUNTIFS('Test Case'!$B:$B,$A18,'Test Case'!$I:$I,"PASS")</f>
        <v/>
      </c>
      <c r="E18" s="5">
        <f>COUNTIFS('Test Case'!$B:$B,$A18,'Test Case'!$I:$I,"FAIL")</f>
        <v/>
      </c>
      <c r="F18" s="5">
        <f>COUNTIFS('Test Case'!$B:$B,$A18,'Test Case'!$I:$I,"BLOCKED")</f>
        <v/>
      </c>
      <c r="G18" s="6">
        <f>IF(B18=0,0,C18/B18)</f>
        <v/>
      </c>
    </row>
    <row r="19">
      <c r="A19" s="4" t="inlineStr">
        <is>
          <t>Admin Utama (role admin_utama) › Rute &amp; Jadwal</t>
        </is>
      </c>
      <c r="B19" s="5">
        <f>COUNTIF('Test Case'!$B:$B,$A19)</f>
        <v/>
      </c>
      <c r="C19" s="5">
        <f>COUNTIFS('Test Case'!$B:$B,$A19,'Test Case'!$H:$H,"✔")</f>
        <v/>
      </c>
      <c r="D19" s="5">
        <f>COUNTIFS('Test Case'!$B:$B,$A19,'Test Case'!$I:$I,"PASS")</f>
        <v/>
      </c>
      <c r="E19" s="5">
        <f>COUNTIFS('Test Case'!$B:$B,$A19,'Test Case'!$I:$I,"FAIL")</f>
        <v/>
      </c>
      <c r="F19" s="5">
        <f>COUNTIFS('Test Case'!$B:$B,$A19,'Test Case'!$I:$I,"BLOCKED")</f>
        <v/>
      </c>
      <c r="G19" s="6">
        <f>IF(B19=0,0,C19/B19)</f>
        <v/>
      </c>
    </row>
    <row r="20">
      <c r="A20" s="4" t="inlineStr">
        <is>
          <t>Admin Utama (role admin_utama) › Refund</t>
        </is>
      </c>
      <c r="B20" s="5">
        <f>COUNTIF('Test Case'!$B:$B,$A20)</f>
        <v/>
      </c>
      <c r="C20" s="5">
        <f>COUNTIFS('Test Case'!$B:$B,$A20,'Test Case'!$H:$H,"✔")</f>
        <v/>
      </c>
      <c r="D20" s="5">
        <f>COUNTIFS('Test Case'!$B:$B,$A20,'Test Case'!$I:$I,"PASS")</f>
        <v/>
      </c>
      <c r="E20" s="5">
        <f>COUNTIFS('Test Case'!$B:$B,$A20,'Test Case'!$I:$I,"FAIL")</f>
        <v/>
      </c>
      <c r="F20" s="5">
        <f>COUNTIFS('Test Case'!$B:$B,$A20,'Test Case'!$I:$I,"BLOCKED")</f>
        <v/>
      </c>
      <c r="G20" s="6">
        <f>IF(B20=0,0,C20/B20)</f>
        <v/>
      </c>
    </row>
    <row r="21">
      <c r="A21" s="4" t="inlineStr">
        <is>
          <t>Admin Utama (role admin_utama) › Laporan</t>
        </is>
      </c>
      <c r="B21" s="5">
        <f>COUNTIF('Test Case'!$B:$B,$A21)</f>
        <v/>
      </c>
      <c r="C21" s="5">
        <f>COUNTIFS('Test Case'!$B:$B,$A21,'Test Case'!$H:$H,"✔")</f>
        <v/>
      </c>
      <c r="D21" s="5">
        <f>COUNTIFS('Test Case'!$B:$B,$A21,'Test Case'!$I:$I,"PASS")</f>
        <v/>
      </c>
      <c r="E21" s="5">
        <f>COUNTIFS('Test Case'!$B:$B,$A21,'Test Case'!$I:$I,"FAIL")</f>
        <v/>
      </c>
      <c r="F21" s="5">
        <f>COUNTIFS('Test Case'!$B:$B,$A21,'Test Case'!$I:$I,"BLOCKED")</f>
        <v/>
      </c>
      <c r="G21" s="6">
        <f>IF(B21=0,0,C21/B21)</f>
        <v/>
      </c>
    </row>
    <row r="22">
      <c r="A22" s="4" t="inlineStr">
        <is>
          <t>Admin Utama (role admin_utama) › Pengaturan</t>
        </is>
      </c>
      <c r="B22" s="5">
        <f>COUNTIF('Test Case'!$B:$B,$A22)</f>
        <v/>
      </c>
      <c r="C22" s="5">
        <f>COUNTIFS('Test Case'!$B:$B,$A22,'Test Case'!$H:$H,"✔")</f>
        <v/>
      </c>
      <c r="D22" s="5">
        <f>COUNTIFS('Test Case'!$B:$B,$A22,'Test Case'!$I:$I,"PASS")</f>
        <v/>
      </c>
      <c r="E22" s="5">
        <f>COUNTIFS('Test Case'!$B:$B,$A22,'Test Case'!$I:$I,"FAIL")</f>
        <v/>
      </c>
      <c r="F22" s="5">
        <f>COUNTIFS('Test Case'!$B:$B,$A22,'Test Case'!$I:$I,"BLOCKED")</f>
        <v/>
      </c>
      <c r="G22" s="6">
        <f>IF(B22=0,0,C22/B22)</f>
        <v/>
      </c>
    </row>
    <row r="23">
      <c r="A23" s="4" t="inlineStr">
        <is>
          <t>Staff Loket (role staff)</t>
        </is>
      </c>
      <c r="B23" s="5">
        <f>COUNTIF('Test Case'!$B:$B,$A23)</f>
        <v/>
      </c>
      <c r="C23" s="5">
        <f>COUNTIFS('Test Case'!$B:$B,$A23,'Test Case'!$H:$H,"✔")</f>
        <v/>
      </c>
      <c r="D23" s="5">
        <f>COUNTIFS('Test Case'!$B:$B,$A23,'Test Case'!$I:$I,"PASS")</f>
        <v/>
      </c>
      <c r="E23" s="5">
        <f>COUNTIFS('Test Case'!$B:$B,$A23,'Test Case'!$I:$I,"FAIL")</f>
        <v/>
      </c>
      <c r="F23" s="5">
        <f>COUNTIFS('Test Case'!$B:$B,$A23,'Test Case'!$I:$I,"BLOCKED")</f>
        <v/>
      </c>
      <c r="G23" s="6">
        <f>IF(B23=0,0,C23/B23)</f>
        <v/>
      </c>
    </row>
    <row r="24">
      <c r="A24" s="4" t="inlineStr">
        <is>
          <t>Driver (role driver)</t>
        </is>
      </c>
      <c r="B24" s="5">
        <f>COUNTIF('Test Case'!$B:$B,$A24)</f>
        <v/>
      </c>
      <c r="C24" s="5">
        <f>COUNTIFS('Test Case'!$B:$B,$A24,'Test Case'!$H:$H,"✔")</f>
        <v/>
      </c>
      <c r="D24" s="5">
        <f>COUNTIFS('Test Case'!$B:$B,$A24,'Test Case'!$I:$I,"PASS")</f>
        <v/>
      </c>
      <c r="E24" s="5">
        <f>COUNTIFS('Test Case'!$B:$B,$A24,'Test Case'!$I:$I,"FAIL")</f>
        <v/>
      </c>
      <c r="F24" s="5">
        <f>COUNTIFS('Test Case'!$B:$B,$A24,'Test Case'!$I:$I,"BLOCKED")</f>
        <v/>
      </c>
      <c r="G24" s="6">
        <f>IF(B24=0,0,C24/B24)</f>
        <v/>
      </c>
    </row>
    <row r="25">
      <c r="A25" s="4" t="inlineStr">
        <is>
          <t>Customer Service (role cs)</t>
        </is>
      </c>
      <c r="B25" s="5">
        <f>COUNTIF('Test Case'!$B:$B,$A25)</f>
        <v/>
      </c>
      <c r="C25" s="5">
        <f>COUNTIFS('Test Case'!$B:$B,$A25,'Test Case'!$H:$H,"✔")</f>
        <v/>
      </c>
      <c r="D25" s="5">
        <f>COUNTIFS('Test Case'!$B:$B,$A25,'Test Case'!$I:$I,"PASS")</f>
        <v/>
      </c>
      <c r="E25" s="5">
        <f>COUNTIFS('Test Case'!$B:$B,$A25,'Test Case'!$I:$I,"FAIL")</f>
        <v/>
      </c>
      <c r="F25" s="5">
        <f>COUNTIFS('Test Case'!$B:$B,$A25,'Test Case'!$I:$I,"BLOCKED")</f>
        <v/>
      </c>
      <c r="G25" s="6">
        <f>IF(B25=0,0,C25/B25)</f>
        <v/>
      </c>
    </row>
    <row r="26">
      <c r="A26" s="4" t="inlineStr">
        <is>
          <t>Payment gateway &amp; API</t>
        </is>
      </c>
      <c r="B26" s="5">
        <f>COUNTIF('Test Case'!$B:$B,$A26)</f>
        <v/>
      </c>
      <c r="C26" s="5">
        <f>COUNTIFS('Test Case'!$B:$B,$A26,'Test Case'!$H:$H,"✔")</f>
        <v/>
      </c>
      <c r="D26" s="5">
        <f>COUNTIFS('Test Case'!$B:$B,$A26,'Test Case'!$I:$I,"PASS")</f>
        <v/>
      </c>
      <c r="E26" s="5">
        <f>COUNTIFS('Test Case'!$B:$B,$A26,'Test Case'!$I:$I,"FAIL")</f>
        <v/>
      </c>
      <c r="F26" s="5">
        <f>COUNTIFS('Test Case'!$B:$B,$A26,'Test Case'!$I:$I,"BLOCKED")</f>
        <v/>
      </c>
      <c r="G26" s="6">
        <f>IF(B26=0,0,C26/B26)</f>
        <v/>
      </c>
    </row>
    <row r="27">
      <c r="A27" s="4" t="inlineStr">
        <is>
          <t>Skenario lintas role (end-to-end)</t>
        </is>
      </c>
      <c r="B27" s="5">
        <f>COUNTIF('Test Case'!$B:$B,$A27)</f>
        <v/>
      </c>
      <c r="C27" s="5">
        <f>COUNTIFS('Test Case'!$B:$B,$A27,'Test Case'!$H:$H,"✔")</f>
        <v/>
      </c>
      <c r="D27" s="5">
        <f>COUNTIFS('Test Case'!$B:$B,$A27,'Test Case'!$I:$I,"PASS")</f>
        <v/>
      </c>
      <c r="E27" s="5">
        <f>COUNTIFS('Test Case'!$B:$B,$A27,'Test Case'!$I:$I,"FAIL")</f>
        <v/>
      </c>
      <c r="F27" s="5">
        <f>COUNTIFS('Test Case'!$B:$B,$A27,'Test Case'!$I:$I,"BLOCKED")</f>
        <v/>
      </c>
      <c r="G27" s="6">
        <f>IF(B27=0,0,C27/B27)</f>
        <v/>
      </c>
    </row>
    <row r="28">
      <c r="A28" s="7" t="inlineStr">
        <is>
          <t>TOTAL</t>
        </is>
      </c>
      <c r="B28" s="8">
        <f>SUM(B5:B27)</f>
        <v/>
      </c>
      <c r="C28" s="8">
        <f>SUM(C5:C27)</f>
        <v/>
      </c>
      <c r="D28" s="8">
        <f>SUM(D5:D27)</f>
        <v/>
      </c>
      <c r="E28" s="8">
        <f>SUM(E5:E27)</f>
        <v/>
      </c>
      <c r="F28" s="8">
        <f>SUM(F5:F27)</f>
        <v/>
      </c>
      <c r="G28" s="9">
        <f>IF(B28=0,0,C28/B28)</f>
        <v/>
      </c>
    </row>
    <row r="31">
      <c r="A31" s="3" t="inlineStr">
        <is>
          <t>Prioritas Bug</t>
        </is>
      </c>
      <c r="B31" s="3" t="inlineStr">
        <is>
          <t>Total</t>
        </is>
      </c>
      <c r="C31" s="3" t="inlineStr">
        <is>
          <t>Sudah Dicek</t>
        </is>
      </c>
      <c r="D31" s="3" t="inlineStr">
        <is>
          <t>Terbukti</t>
        </is>
      </c>
      <c r="E31" s="3" t="inlineStr">
        <is>
          <t>Tidak Terbukti</t>
        </is>
      </c>
    </row>
    <row r="32">
      <c r="A32" s="10" t="inlineStr">
        <is>
          <t>Kritis</t>
        </is>
      </c>
      <c r="B32" s="11">
        <f>COUNTIF('Daftar Bug'!$B:$B,$A32&amp;"*")</f>
        <v/>
      </c>
      <c r="C32" s="11">
        <f>COUNTIFS('Daftar Bug'!$B:$B,$A32&amp;"*",'Daftar Bug'!$F:$F,"✔")</f>
        <v/>
      </c>
      <c r="D32" s="11">
        <f>COUNTIFS('Daftar Bug'!$B:$B,$A32&amp;"*",'Daftar Bug'!$G:$G,"Ya")</f>
        <v/>
      </c>
      <c r="E32" s="11">
        <f>COUNTIFS('Daftar Bug'!$B:$B,$A32&amp;"*",'Daftar Bug'!$G:$G,"Tidak")</f>
        <v/>
      </c>
    </row>
    <row r="33">
      <c r="A33" s="12" t="inlineStr">
        <is>
          <t>Tinggi</t>
        </is>
      </c>
      <c r="B33" s="11">
        <f>COUNTIF('Daftar Bug'!$B:$B,$A33&amp;"*")</f>
        <v/>
      </c>
      <c r="C33" s="11">
        <f>COUNTIFS('Daftar Bug'!$B:$B,$A33&amp;"*",'Daftar Bug'!$F:$F,"✔")</f>
        <v/>
      </c>
      <c r="D33" s="11">
        <f>COUNTIFS('Daftar Bug'!$B:$B,$A33&amp;"*",'Daftar Bug'!$G:$G,"Ya")</f>
        <v/>
      </c>
      <c r="E33" s="11">
        <f>COUNTIFS('Daftar Bug'!$B:$B,$A33&amp;"*",'Daftar Bug'!$G:$G,"Tidak")</f>
        <v/>
      </c>
    </row>
    <row r="34">
      <c r="A34" s="13" t="inlineStr">
        <is>
          <t>Sedang</t>
        </is>
      </c>
      <c r="B34" s="11">
        <f>COUNTIF('Daftar Bug'!$B:$B,$A34&amp;"*")</f>
        <v/>
      </c>
      <c r="C34" s="11">
        <f>COUNTIFS('Daftar Bug'!$B:$B,$A34&amp;"*",'Daftar Bug'!$F:$F,"✔")</f>
        <v/>
      </c>
      <c r="D34" s="11">
        <f>COUNTIFS('Daftar Bug'!$B:$B,$A34&amp;"*",'Daftar Bug'!$G:$G,"Ya")</f>
        <v/>
      </c>
      <c r="E34" s="11">
        <f>COUNTIFS('Daftar Bug'!$B:$B,$A34&amp;"*",'Daftar Bug'!$G:$G,"Tidak")</f>
        <v/>
      </c>
    </row>
    <row r="35">
      <c r="A35" s="14" t="inlineStr">
        <is>
          <t>Rendah</t>
        </is>
      </c>
      <c r="B35" s="11">
        <f>COUNTIF('Daftar Bug'!$B:$B,$A35&amp;"*")</f>
        <v/>
      </c>
      <c r="C35" s="11">
        <f>COUNTIFS('Daftar Bug'!$B:$B,$A35&amp;"*",'Daftar Bug'!$F:$F,"✔")</f>
        <v/>
      </c>
      <c r="D35" s="11">
        <f>COUNTIFS('Daftar Bug'!$B:$B,$A35&amp;"*",'Daftar Bug'!$G:$G,"Ya")</f>
        <v/>
      </c>
      <c r="E35" s="11">
        <f>COUNTIFS('Daftar Bug'!$B:$B,$A35&amp;"*",'Daftar Bug'!$G:$G,"Tidak")</f>
        <v/>
      </c>
    </row>
    <row r="36">
      <c r="A36" s="15" t="inlineStr">
        <is>
          <t>TOTAL</t>
        </is>
      </c>
      <c r="B36" s="16">
        <f>SUM(B32:B35)</f>
        <v/>
      </c>
      <c r="C36" s="16">
        <f>SUM(C32:C35)</f>
        <v/>
      </c>
      <c r="D36" s="16">
        <f>SUM(D32:D35)</f>
        <v/>
      </c>
      <c r="E36" s="16">
        <f>SUM(E32:E35)</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0" customWidth="1" min="1" max="1"/>
    <col width="40" customWidth="1" min="2" max="2"/>
    <col width="18" customWidth="1" min="3" max="3"/>
    <col width="22" customWidth="1" min="4" max="4"/>
    <col width="18" customWidth="1" min="5" max="5"/>
  </cols>
  <sheetData>
    <row r="1">
      <c r="A1" s="17" t="inlineStr">
        <is>
          <t>Cara Mengisi</t>
        </is>
      </c>
    </row>
    <row r="2" ht="30" customHeight="1">
      <c r="A2" s="18" t="inlineStr">
        <is>
          <t>Kolom yang diisi</t>
        </is>
      </c>
      <c r="B2" s="19" t="inlineStr">
        <is>
          <t>Hanya kolom berlatar kuning: Sudah Dicek, Hasil, Hasil Aktual / Catatan, Tanggal Uji, Penguji (sheet Test Case) serta Sudah Dicek, Terbukti?, Catatan (sheet Daftar Bug).</t>
        </is>
      </c>
    </row>
    <row r="3" ht="30" customHeight="1">
      <c r="A3" s="20" t="inlineStr">
        <is>
          <t>Sudah Dicek</t>
        </is>
      </c>
      <c r="B3" s="19" t="inlineStr">
        <is>
          <t>Pilih ✔ dari dropdown setelah test case dijalankan.</t>
        </is>
      </c>
    </row>
    <row r="4" ht="30" customHeight="1">
      <c r="A4" s="20" t="inlineStr">
        <is>
          <t>Hasil</t>
        </is>
      </c>
      <c r="B4" s="19" t="inlineStr">
        <is>
          <t>PASS = sesuai harapan · FAIL = tidak sesuai · BLOCKED = tidak bisa diuji (mis. data/akun belum siap).</t>
        </is>
      </c>
    </row>
    <row r="5" ht="30" customHeight="1">
      <c r="A5" s="20" t="inlineStr">
        <is>
          <t>Hasil Aktual / Catatan</t>
        </is>
      </c>
      <c r="B5" s="19" t="inlineStr">
        <is>
          <t>Tulis apa yang benar-benar terjadi, terutama jika FAIL (pesan error, URL, screenshot).</t>
        </is>
      </c>
    </row>
    <row r="6" ht="30" customHeight="1">
      <c r="A6" s="20" t="inlineStr">
        <is>
          <t>Tanggal Uji</t>
        </is>
      </c>
      <c r="B6" s="19" t="inlineStr">
        <is>
          <t>Format dd/mm/yyyy, contoh 16/10/2026.</t>
        </is>
      </c>
    </row>
    <row r="7" ht="30" customHeight="1">
      <c r="A7" s="20" t="inlineStr">
        <is>
          <t>Bug Terkait (merah)</t>
        </is>
      </c>
      <c r="B7" s="19" t="inlineStr">
        <is>
          <t>Test case ini mengarah ke bug yang sudah ditemukan lewat review kode; kemungkinan besar hasilnya FAIL.</t>
        </is>
      </c>
    </row>
    <row r="8" ht="30" customHeight="1">
      <c r="A8" s="20" t="inlineStr">
        <is>
          <t>Terbukti? (Daftar Bug)</t>
        </is>
      </c>
      <c r="B8" s="19" t="inlineStr">
        <is>
          <t>Ya = bug benar terjadi saat diuji · Tidak = tidak terjadi.</t>
        </is>
      </c>
    </row>
    <row r="9" ht="30" customHeight="1">
      <c r="A9" s="20" t="inlineStr">
        <is>
          <t>Reset data sebelum uji</t>
        </is>
      </c>
      <c r="B9" s="19" t="inlineStr">
        <is>
          <t>php artisan migrate:fresh --seed  lalu  npm run build (atau composer run dev)</t>
        </is>
      </c>
    </row>
    <row r="12">
      <c r="A12" s="17" t="inlineStr">
        <is>
          <t>Akun Uji</t>
        </is>
      </c>
    </row>
    <row r="13">
      <c r="A13" s="3" t="inlineStr">
        <is>
          <t>Role</t>
        </is>
      </c>
      <c r="B13" s="3" t="inlineStr">
        <is>
          <t>Halaman login</t>
        </is>
      </c>
      <c r="C13" s="3" t="inlineStr">
        <is>
          <t>Email</t>
        </is>
      </c>
      <c r="D13" s="3" t="inlineStr">
        <is>
          <t>Password</t>
        </is>
      </c>
      <c r="E13" s="3" t="inlineStr">
        <is>
          <t>Kode akses</t>
        </is>
      </c>
    </row>
    <row r="14">
      <c r="A14" s="21" t="inlineStr">
        <is>
          <t>Admin Utama (admin_utama)</t>
        </is>
      </c>
      <c r="B14" s="21" t="inlineStr">
        <is>
          <t>/login</t>
        </is>
      </c>
      <c r="C14" s="21" t="inlineStr">
        <is>
          <t>admin@travel.test</t>
        </is>
      </c>
      <c r="D14" s="21" t="inlineStr">
        <is>
          <t>password</t>
        </is>
      </c>
      <c r="E14" s="21" t="inlineStr">
        <is>
          <t>ADMIN123</t>
        </is>
      </c>
    </row>
    <row r="15">
      <c r="A15" s="21" t="inlineStr">
        <is>
          <t>Staff Jakarta (staff)</t>
        </is>
      </c>
      <c r="B15" s="21" t="inlineStr">
        <is>
          <t>/login</t>
        </is>
      </c>
      <c r="C15" s="21" t="inlineStr">
        <is>
          <t>staff@travel.test</t>
        </is>
      </c>
      <c r="D15" s="21" t="inlineStr">
        <is>
          <t>password</t>
        </is>
      </c>
      <c r="E15" s="21" t="inlineStr">
        <is>
          <t>STF-2026-TRAVEL</t>
        </is>
      </c>
    </row>
    <row r="16">
      <c r="A16" s="21" t="inlineStr">
        <is>
          <t>Staff Bandung (staff)</t>
        </is>
      </c>
      <c r="B16" s="21" t="inlineStr">
        <is>
          <t>/login</t>
        </is>
      </c>
      <c r="C16" s="21" t="inlineStr">
        <is>
          <t>staff.bandung@travel.test</t>
        </is>
      </c>
      <c r="D16" s="21" t="inlineStr">
        <is>
          <t>password</t>
        </is>
      </c>
      <c r="E16" s="21" t="inlineStr">
        <is>
          <t>STF-BDO-2026</t>
        </is>
      </c>
    </row>
    <row r="17">
      <c r="A17" s="21" t="inlineStr">
        <is>
          <t>Customer Service (cs)</t>
        </is>
      </c>
      <c r="B17" s="21" t="inlineStr">
        <is>
          <t>/login</t>
        </is>
      </c>
      <c r="C17" s="21" t="inlineStr">
        <is>
          <t>cs@travel.test</t>
        </is>
      </c>
      <c r="D17" s="21" t="inlineStr">
        <is>
          <t>password</t>
        </is>
      </c>
      <c r="E17" s="21" t="inlineStr">
        <is>
          <t>CS-2026-TRAVEL</t>
        </is>
      </c>
    </row>
    <row r="18">
      <c r="A18" s="21" t="inlineStr">
        <is>
          <t>Driver (driver)</t>
        </is>
      </c>
      <c r="B18" s="21" t="inlineStr">
        <is>
          <t>/login</t>
        </is>
      </c>
      <c r="C18" s="21" t="inlineStr">
        <is>
          <t>driver@travel.test</t>
        </is>
      </c>
      <c r="D18" s="21" t="inlineStr">
        <is>
          <t>password</t>
        </is>
      </c>
      <c r="E18" s="21" t="inlineStr">
        <is>
          <t>DRV-2026-TRAVEL</t>
        </is>
      </c>
    </row>
    <row r="19">
      <c r="A19" s="21" t="inlineStr">
        <is>
          <t>Driver lain</t>
        </is>
      </c>
      <c r="B19" s="21" t="inlineStr">
        <is>
          <t>/login</t>
        </is>
      </c>
      <c r="C19" s="21" t="inlineStr">
        <is>
          <t>driver.bambang@travel.test (dan driver.*@travel.test lainnya)</t>
        </is>
      </c>
      <c r="D19" s="21" t="inlineStr">
        <is>
          <t>password</t>
        </is>
      </c>
      <c r="E19" s="21" t="inlineStr">
        <is>
          <t>DRV-2026-TRAVEL</t>
        </is>
      </c>
    </row>
    <row r="20">
      <c r="A20" s="21" t="inlineStr">
        <is>
          <t>Penumpang (user)</t>
        </is>
      </c>
      <c r="B20" s="21" t="inlineStr">
        <is>
          <t>/user/login</t>
        </is>
      </c>
      <c r="C20" s="21" t="inlineStr">
        <is>
          <t>user@travel.test</t>
        </is>
      </c>
      <c r="D20" s="21" t="inlineStr">
        <is>
          <t>password</t>
        </is>
      </c>
      <c r="E20" s="21" t="inlineStr">
        <is>
          <t>(tidak ada)</t>
        </is>
      </c>
    </row>
    <row r="21">
      <c r="A21" s="21" t="inlineStr">
        <is>
          <t>Penumpang lain</t>
        </is>
      </c>
      <c r="B21" s="21" t="inlineStr">
        <is>
          <t>/user/login</t>
        </is>
      </c>
      <c r="C21" s="21" t="inlineStr">
        <is>
          <t>budi@, dewi@, rizky@, anisa@travel.test</t>
        </is>
      </c>
      <c r="D21" s="21" t="inlineStr">
        <is>
          <t>password</t>
        </is>
      </c>
      <c r="E21" s="21" t="inlineStr">
        <is>
          <t>(tidak ada)</t>
        </is>
      </c>
    </row>
    <row r="23">
      <c r="A23" s="17" t="inlineStr">
        <is>
          <t>Data Uji</t>
        </is>
      </c>
    </row>
    <row r="24">
      <c r="A24" s="3" t="inlineStr">
        <is>
          <t>Data</t>
        </is>
      </c>
      <c r="B24" s="3" t="inlineStr">
        <is>
          <t>Nilai</t>
        </is>
      </c>
    </row>
    <row r="25" ht="28" customHeight="1">
      <c r="A25" s="21" t="inlineStr">
        <is>
          <t>Kode promo checkout</t>
        </is>
      </c>
      <c r="B25" s="21" t="inlineStr">
        <is>
          <t>HEMATLIBURAN (25%, maks Rp50.000, min Rp100.000, khusus Bandung–Jakarta), TRAVELHEMAT (Rp20.000, min Rp100.000)</t>
        </is>
      </c>
      <c r="C25" s="22" t="n"/>
      <c r="D25" s="22" t="n"/>
      <c r="E25" s="23" t="n"/>
    </row>
    <row r="26" ht="28" customHeight="1">
      <c r="A26" s="21" t="inlineStr">
        <is>
          <t>Kode klaim voucher</t>
        </is>
      </c>
      <c r="B26" s="21" t="inlineStr">
        <is>
          <t>HEMATLIBURAN, TRAVELHEMAT, KOMPENSASI50, WELCOME2026, SUPERDISCOUNT</t>
        </is>
      </c>
      <c r="C26" s="22" t="n"/>
      <c r="D26" s="22" t="n"/>
      <c r="E26" s="23" t="n"/>
    </row>
    <row r="27" ht="28" customHeight="1">
      <c r="A27" s="21" t="inlineStr">
        <is>
          <t>NIK valid</t>
        </is>
      </c>
      <c r="B27" s="21" t="inlineStr">
        <is>
          <t>16 digit angka, mis. 3273010198000001</t>
        </is>
      </c>
      <c r="C27" s="22" t="n"/>
      <c r="D27" s="22" t="n"/>
      <c r="E27" s="23" t="n"/>
    </row>
    <row r="28" ht="28" customHeight="1">
      <c r="A28" s="21" t="inlineStr">
        <is>
          <t>Kanal bayar</t>
        </is>
      </c>
      <c r="B28" s="21" t="inlineStr">
        <is>
          <t>bca, mandiri, bni, bri, bsi, seabank, qris, gopay, shopeepay</t>
        </is>
      </c>
      <c r="C28" s="22" t="n"/>
      <c r="D28" s="22" t="n"/>
      <c r="E28" s="23" t="n"/>
    </row>
  </sheetData>
  <mergeCells count="12">
    <mergeCell ref="B26:E26"/>
    <mergeCell ref="B9:E9"/>
    <mergeCell ref="B27:E27"/>
    <mergeCell ref="B8:E8"/>
    <mergeCell ref="B4:E4"/>
    <mergeCell ref="B6:E6"/>
    <mergeCell ref="B7:E7"/>
    <mergeCell ref="B25:E25"/>
    <mergeCell ref="B3:E3"/>
    <mergeCell ref="B5:E5"/>
    <mergeCell ref="B2:E2"/>
    <mergeCell ref="B28:E28"/>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L26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3" customWidth="1" min="3" max="3"/>
    <col width="32" customWidth="1" min="4" max="4"/>
    <col width="42" customWidth="1" min="5" max="5"/>
    <col width="46" customWidth="1" min="6" max="6"/>
    <col width="12" customWidth="1" min="7" max="7"/>
    <col width="10" customWidth="1" min="8" max="8"/>
    <col width="11" customWidth="1" min="9" max="9"/>
    <col width="34" customWidth="1" min="10" max="10"/>
    <col width="12" customWidth="1" min="11" max="11"/>
    <col width="14" customWidth="1" min="12" max="12"/>
  </cols>
  <sheetData>
    <row r="1">
      <c r="A1" s="3" t="inlineStr">
        <is>
          <t>No</t>
        </is>
      </c>
      <c r="B1" s="3" t="inlineStr">
        <is>
          <t>Modul / Role</t>
        </is>
      </c>
      <c r="C1" s="3" t="inlineStr">
        <is>
          <t>ID</t>
        </is>
      </c>
      <c r="D1" s="3" t="inlineStr">
        <is>
          <t>Skenario</t>
        </is>
      </c>
      <c r="E1" s="3" t="inlineStr">
        <is>
          <t>Langkah / Data Uji</t>
        </is>
      </c>
      <c r="F1" s="3" t="inlineStr">
        <is>
          <t>Hasil yang Diharapkan</t>
        </is>
      </c>
      <c r="G1" s="3" t="inlineStr">
        <is>
          <t>Bug Terkait</t>
        </is>
      </c>
      <c r="H1" s="3" t="inlineStr">
        <is>
          <t>Sudah Dicek</t>
        </is>
      </c>
      <c r="I1" s="3" t="inlineStr">
        <is>
          <t>Hasil</t>
        </is>
      </c>
      <c r="J1" s="3" t="inlineStr">
        <is>
          <t>Hasil Aktual / Catatan</t>
        </is>
      </c>
      <c r="K1" s="3" t="inlineStr">
        <is>
          <t>Tanggal Uji</t>
        </is>
      </c>
      <c r="L1" s="3" t="inlineStr">
        <is>
          <t>Penguji</t>
        </is>
      </c>
    </row>
    <row r="2">
      <c r="A2" s="24" t="n">
        <v>1</v>
      </c>
      <c r="B2" s="21" t="inlineStr">
        <is>
          <t>Autentikasi</t>
        </is>
      </c>
      <c r="C2" s="24" t="inlineStr">
        <is>
          <t>AUTH-01</t>
        </is>
      </c>
      <c r="D2" s="21" t="inlineStr">
        <is>
          <t>Login admin utama valid</t>
        </is>
      </c>
      <c r="E2" s="21" t="inlineStr">
        <is>
          <t>/login, role Admin Utama, admin@travel.test / password / ADMIN123</t>
        </is>
      </c>
      <c r="F2" s="21" t="inlineStr">
        <is>
          <t>Masuk ke /dashboard/admin</t>
        </is>
      </c>
      <c r="G2" s="24" t="n"/>
      <c r="H2" s="25" t="n"/>
      <c r="I2" s="25" t="n"/>
      <c r="J2" s="26" t="n"/>
      <c r="K2" s="27" t="n"/>
      <c r="L2" s="26" t="n"/>
    </row>
    <row r="3">
      <c r="A3" s="24" t="n">
        <v>2</v>
      </c>
      <c r="B3" s="21" t="inlineStr">
        <is>
          <t>Autentikasi</t>
        </is>
      </c>
      <c r="C3" s="24" t="inlineStr">
        <is>
          <t>AUTH-02</t>
        </is>
      </c>
      <c r="D3" s="21" t="inlineStr">
        <is>
          <t>Login staff valid</t>
        </is>
      </c>
      <c r="E3" s="21" t="inlineStr">
        <is>
          <t>role Staff, staff@travel.test / password / STF-2026-TRAVEL</t>
        </is>
      </c>
      <c r="F3" s="21" t="inlineStr">
        <is>
          <t>Masuk ke /admin/dashboard</t>
        </is>
      </c>
      <c r="G3" s="24" t="n"/>
      <c r="H3" s="25" t="n"/>
      <c r="I3" s="25" t="n"/>
      <c r="J3" s="26" t="n"/>
      <c r="K3" s="27" t="n"/>
      <c r="L3" s="26" t="n"/>
    </row>
    <row r="4">
      <c r="A4" s="24" t="n">
        <v>3</v>
      </c>
      <c r="B4" s="21" t="inlineStr">
        <is>
          <t>Autentikasi</t>
        </is>
      </c>
      <c r="C4" s="24" t="inlineStr">
        <is>
          <t>AUTH-03</t>
        </is>
      </c>
      <c r="D4" s="21" t="inlineStr">
        <is>
          <t>Login CS valid</t>
        </is>
      </c>
      <c r="E4" s="21" t="inlineStr">
        <is>
          <t>role CS, cs@travel.test / password / CS-2026-TRAVEL</t>
        </is>
      </c>
      <c r="F4" s="21" t="inlineStr">
        <is>
          <t>Masuk ke /customer-service/dashboard</t>
        </is>
      </c>
      <c r="G4" s="24" t="n"/>
      <c r="H4" s="25" t="n"/>
      <c r="I4" s="25" t="n"/>
      <c r="J4" s="26" t="n"/>
      <c r="K4" s="27" t="n"/>
      <c r="L4" s="26" t="n"/>
    </row>
    <row r="5">
      <c r="A5" s="24" t="n">
        <v>4</v>
      </c>
      <c r="B5" s="21" t="inlineStr">
        <is>
          <t>Autentikasi</t>
        </is>
      </c>
      <c r="C5" s="24" t="inlineStr">
        <is>
          <t>AUTH-04</t>
        </is>
      </c>
      <c r="D5" s="21" t="inlineStr">
        <is>
          <t>Login driver valid</t>
        </is>
      </c>
      <c r="E5" s="21" t="inlineStr">
        <is>
          <t>role Driver, driver@travel.test / password / DRV-2026-TRAVEL</t>
        </is>
      </c>
      <c r="F5" s="21" t="inlineStr">
        <is>
          <t>Masuk ke /driver/dashboard</t>
        </is>
      </c>
      <c r="G5" s="24" t="n"/>
      <c r="H5" s="25" t="n"/>
      <c r="I5" s="25" t="n"/>
      <c r="J5" s="26" t="n"/>
      <c r="K5" s="27" t="n"/>
      <c r="L5" s="26" t="n"/>
    </row>
    <row r="6">
      <c r="A6" s="24" t="n">
        <v>5</v>
      </c>
      <c r="B6" s="21" t="inlineStr">
        <is>
          <t>Autentikasi</t>
        </is>
      </c>
      <c r="C6" s="24" t="inlineStr">
        <is>
          <t>AUTH-05</t>
        </is>
      </c>
      <c r="D6" s="21" t="inlineStr">
        <is>
          <t>Password salah</t>
        </is>
      </c>
      <c r="E6" s="21" t="inlineStr">
        <is>
          <t>Password salah123</t>
        </is>
      </c>
      <c r="F6" s="21" t="inlineStr">
        <is>
          <t>Tetap di /login, error "Email atau password salah."</t>
        </is>
      </c>
      <c r="G6" s="24" t="n"/>
      <c r="H6" s="25" t="n"/>
      <c r="I6" s="25" t="n"/>
      <c r="J6" s="26" t="n"/>
      <c r="K6" s="27" t="n"/>
      <c r="L6" s="26" t="n"/>
    </row>
    <row r="7">
      <c r="A7" s="24" t="n">
        <v>6</v>
      </c>
      <c r="B7" s="21" t="inlineStr">
        <is>
          <t>Autentikasi</t>
        </is>
      </c>
      <c r="C7" s="24" t="inlineStr">
        <is>
          <t>AUTH-06</t>
        </is>
      </c>
      <c r="D7" s="21" t="inlineStr">
        <is>
          <t>Role tidak sesuai akun</t>
        </is>
      </c>
      <c r="E7" s="21" t="inlineStr">
        <is>
          <t>staff@travel.test tapi pilih role Driver</t>
        </is>
      </c>
      <c r="F7" s="21" t="inlineStr">
        <is>
          <t>Error "Role yang dipilih tidak sesuai dengan akun Anda."</t>
        </is>
      </c>
      <c r="G7" s="24" t="n"/>
      <c r="H7" s="25" t="n"/>
      <c r="I7" s="25" t="n"/>
      <c r="J7" s="26" t="n"/>
      <c r="K7" s="27" t="n"/>
      <c r="L7" s="26" t="n"/>
    </row>
    <row r="8">
      <c r="A8" s="24" t="n">
        <v>7</v>
      </c>
      <c r="B8" s="21" t="inlineStr">
        <is>
          <t>Autentikasi</t>
        </is>
      </c>
      <c r="C8" s="24" t="inlineStr">
        <is>
          <t>AUTH-07</t>
        </is>
      </c>
      <c r="D8" s="21" t="inlineStr">
        <is>
          <t>Kode akses salah</t>
        </is>
      </c>
      <c r="E8" s="21" t="inlineStr">
        <is>
          <t>Kode akses XXX</t>
        </is>
      </c>
      <c r="F8" s="21" t="inlineStr">
        <is>
          <t>Error "Kode akses tidak valid."</t>
        </is>
      </c>
      <c r="G8" s="24" t="n"/>
      <c r="H8" s="25" t="n"/>
      <c r="I8" s="25" t="n"/>
      <c r="J8" s="26" t="n"/>
      <c r="K8" s="27" t="n"/>
      <c r="L8" s="26" t="n"/>
    </row>
    <row r="9">
      <c r="A9" s="24" t="n">
        <v>8</v>
      </c>
      <c r="B9" s="21" t="inlineStr">
        <is>
          <t>Autentikasi</t>
        </is>
      </c>
      <c r="C9" s="24" t="inlineStr">
        <is>
          <t>AUTH-08</t>
        </is>
      </c>
      <c r="D9" s="21" t="inlineStr">
        <is>
          <t>Field kosong</t>
        </is>
      </c>
      <c r="E9" s="21" t="inlineStr">
        <is>
          <t>Submit form kosong</t>
        </is>
      </c>
      <c r="F9" s="21" t="inlineStr">
        <is>
          <t>Pesan wajib isi untuk email, password, role, kode akses</t>
        </is>
      </c>
      <c r="G9" s="24" t="n"/>
      <c r="H9" s="25" t="n"/>
      <c r="I9" s="25" t="n"/>
      <c r="J9" s="26" t="n"/>
      <c r="K9" s="27" t="n"/>
      <c r="L9" s="26" t="n"/>
    </row>
    <row r="10">
      <c r="A10" s="24" t="n">
        <v>9</v>
      </c>
      <c r="B10" s="21" t="inlineStr">
        <is>
          <t>Autentikasi</t>
        </is>
      </c>
      <c r="C10" s="24" t="inlineStr">
        <is>
          <t>AUTH-09</t>
        </is>
      </c>
      <c r="D10" s="21" t="inlineStr">
        <is>
          <t>Petugas nonaktif login</t>
        </is>
      </c>
      <c r="E10" s="21" t="inlineStr">
        <is>
          <t>Nonaktifkan staff (ADM-STF-06), lalu login</t>
        </is>
      </c>
      <c r="F10" s="21" t="inlineStr">
        <is>
          <t>Ditolak dengan pesan akun nonaktif (BUG-02)</t>
        </is>
      </c>
      <c r="G10" s="28" t="inlineStr">
        <is>
          <t>BUG-02</t>
        </is>
      </c>
      <c r="H10" s="25" t="n"/>
      <c r="I10" s="25" t="n"/>
      <c r="J10" s="26" t="n"/>
      <c r="K10" s="27" t="n"/>
      <c r="L10" s="26" t="n"/>
    </row>
    <row r="11">
      <c r="A11" s="24" t="n">
        <v>10</v>
      </c>
      <c r="B11" s="21" t="inlineStr">
        <is>
          <t>Autentikasi</t>
        </is>
      </c>
      <c r="C11" s="24" t="inlineStr">
        <is>
          <t>AUTH-10</t>
        </is>
      </c>
      <c r="D11" s="21" t="inlineStr">
        <is>
          <t>Login penumpang valid</t>
        </is>
      </c>
      <c r="E11" s="21" t="inlineStr">
        <is>
          <t>/user/login, user@travel.test / password</t>
        </is>
      </c>
      <c r="F11" s="21" t="inlineStr">
        <is>
          <t>Masuk ke /user/dashboard</t>
        </is>
      </c>
      <c r="G11" s="24" t="n"/>
      <c r="H11" s="25" t="n"/>
      <c r="I11" s="25" t="n"/>
      <c r="J11" s="26" t="n"/>
      <c r="K11" s="27" t="n"/>
      <c r="L11" s="26" t="n"/>
    </row>
    <row r="12">
      <c r="A12" s="24" t="n">
        <v>11</v>
      </c>
      <c r="B12" s="21" t="inlineStr">
        <is>
          <t>Autentikasi</t>
        </is>
      </c>
      <c r="C12" s="24" t="inlineStr">
        <is>
          <t>AUTH-11</t>
        </is>
      </c>
      <c r="D12" s="21" t="inlineStr">
        <is>
          <t>Petugas login di form penumpang</t>
        </is>
      </c>
      <c r="E12" s="21" t="inlineStr">
        <is>
          <t>/user/login dengan admin@travel.test</t>
        </is>
      </c>
      <c r="F12" s="21" t="inlineStr">
        <is>
          <t>Ditolak "Email atau password salah."</t>
        </is>
      </c>
      <c r="G12" s="24" t="n"/>
      <c r="H12" s="25" t="n"/>
      <c r="I12" s="25" t="n"/>
      <c r="J12" s="26" t="n"/>
      <c r="K12" s="27" t="n"/>
      <c r="L12" s="26" t="n"/>
    </row>
    <row r="13">
      <c r="A13" s="24" t="n">
        <v>12</v>
      </c>
      <c r="B13" s="21" t="inlineStr">
        <is>
          <t>Autentikasi</t>
        </is>
      </c>
      <c r="C13" s="24" t="inlineStr">
        <is>
          <t>AUTH-12</t>
        </is>
      </c>
      <c r="D13" s="21" t="inlineStr">
        <is>
          <t>Redirect setelah login</t>
        </is>
      </c>
      <c r="E13" s="21" t="inlineStr">
        <is>
          <t>Buka /user/login?redirect=&lt;url hasil cari&gt; lalu login</t>
        </is>
      </c>
      <c r="F13" s="21" t="inlineStr">
        <is>
          <t>Kembali ke URL hasil pencarian</t>
        </is>
      </c>
      <c r="G13" s="24" t="n"/>
      <c r="H13" s="25" t="n"/>
      <c r="I13" s="25" t="n"/>
      <c r="J13" s="26" t="n"/>
      <c r="K13" s="27" t="n"/>
      <c r="L13" s="26" t="n"/>
    </row>
    <row r="14">
      <c r="A14" s="24" t="n">
        <v>13</v>
      </c>
      <c r="B14" s="21" t="inlineStr">
        <is>
          <t>Autentikasi</t>
        </is>
      </c>
      <c r="C14" s="24" t="inlineStr">
        <is>
          <t>AUTH-13</t>
        </is>
      </c>
      <c r="D14" s="21" t="inlineStr">
        <is>
          <t>Redirect ke domain luar</t>
        </is>
      </c>
      <c r="E14" s="21" t="inlineStr">
        <is>
          <t>/user/login?redirect=https://evil.com</t>
        </is>
      </c>
      <c r="F14" s="21" t="inlineStr">
        <is>
          <t>Redirect diabaikan, masuk ke /user/dashboard</t>
        </is>
      </c>
      <c r="G14" s="24" t="n"/>
      <c r="H14" s="25" t="n"/>
      <c r="I14" s="25" t="n"/>
      <c r="J14" s="26" t="n"/>
      <c r="K14" s="27" t="n"/>
      <c r="L14" s="26" t="n"/>
    </row>
    <row r="15">
      <c r="A15" s="24" t="n">
        <v>14</v>
      </c>
      <c r="B15" s="21" t="inlineStr">
        <is>
          <t>Autentikasi</t>
        </is>
      </c>
      <c r="C15" s="24" t="inlineStr">
        <is>
          <t>AUTH-14</t>
        </is>
      </c>
      <c r="D15" s="21" t="inlineStr">
        <is>
          <t>Role admin/customer_service</t>
        </is>
      </c>
      <c r="E15" s="21" t="inlineStr">
        <is>
          <t>Buat user role admin, coba login</t>
        </is>
      </c>
      <c r="F15" s="21" t="inlineStr">
        <is>
          <t>Bisa login atau memang tidak didukung; perlu keputusan (BUG-24)</t>
        </is>
      </c>
      <c r="G15" s="28" t="inlineStr">
        <is>
          <t>BUG-24</t>
        </is>
      </c>
      <c r="H15" s="25" t="n"/>
      <c r="I15" s="25" t="n"/>
      <c r="J15" s="26" t="n"/>
      <c r="K15" s="27" t="n"/>
      <c r="L15" s="26" t="n"/>
    </row>
    <row r="16">
      <c r="A16" s="24" t="n">
        <v>15</v>
      </c>
      <c r="B16" s="21" t="inlineStr">
        <is>
          <t>Autentikasi</t>
        </is>
      </c>
      <c r="C16" s="24" t="inlineStr">
        <is>
          <t>AUTH-15</t>
        </is>
      </c>
      <c r="D16" s="21" t="inlineStr">
        <is>
          <t>Registrasi penumpang</t>
        </is>
      </c>
      <c r="E16" s="21" t="inlineStr">
        <is>
          <t>/register: nama, email baru, HP, password 8+ karakter + konfirmasi</t>
        </is>
      </c>
      <c r="F16" s="21" t="inlineStr">
        <is>
          <t>Akun role user dibuat dan langsung login</t>
        </is>
      </c>
      <c r="G16" s="24" t="n"/>
      <c r="H16" s="25" t="n"/>
      <c r="I16" s="25" t="n"/>
      <c r="J16" s="26" t="n"/>
      <c r="K16" s="27" t="n"/>
      <c r="L16" s="26" t="n"/>
    </row>
    <row r="17">
      <c r="A17" s="24" t="n">
        <v>16</v>
      </c>
      <c r="B17" s="21" t="inlineStr">
        <is>
          <t>Autentikasi</t>
        </is>
      </c>
      <c r="C17" s="24" t="inlineStr">
        <is>
          <t>AUTH-16</t>
        </is>
      </c>
      <c r="D17" s="21" t="inlineStr">
        <is>
          <t>Penumpang diblokir login</t>
        </is>
      </c>
      <c r="E17" s="21" t="inlineStr">
        <is>
          <t>Blokir user (ADM-USR-07), login di /user/login</t>
        </is>
      </c>
      <c r="F17" s="21" t="inlineStr">
        <is>
          <t>Ditolak (BUG-02)</t>
        </is>
      </c>
      <c r="G17" s="28" t="inlineStr">
        <is>
          <t>BUG-02</t>
        </is>
      </c>
      <c r="H17" s="25" t="n"/>
      <c r="I17" s="25" t="n"/>
      <c r="J17" s="26" t="n"/>
      <c r="K17" s="27" t="n"/>
      <c r="L17" s="26" t="n"/>
    </row>
    <row r="18">
      <c r="A18" s="24" t="n">
        <v>17</v>
      </c>
      <c r="B18" s="21" t="inlineStr">
        <is>
          <t>Autentikasi</t>
        </is>
      </c>
      <c r="C18" s="24" t="inlineStr">
        <is>
          <t>AUTH-17</t>
        </is>
      </c>
      <c r="D18" s="21" t="inlineStr">
        <is>
          <t>Registrasi email duplikat</t>
        </is>
      </c>
      <c r="E18" s="21" t="inlineStr">
        <is>
          <t>Email user@travel.test</t>
        </is>
      </c>
      <c r="F18" s="21" t="inlineStr">
        <is>
          <t>Error email sudah dipakai</t>
        </is>
      </c>
      <c r="G18" s="24" t="n"/>
      <c r="H18" s="25" t="n"/>
      <c r="I18" s="25" t="n"/>
      <c r="J18" s="26" t="n"/>
      <c r="K18" s="27" t="n"/>
      <c r="L18" s="26" t="n"/>
    </row>
    <row r="19">
      <c r="A19" s="24" t="n">
        <v>18</v>
      </c>
      <c r="B19" s="21" t="inlineStr">
        <is>
          <t>Autentikasi</t>
        </is>
      </c>
      <c r="C19" s="24" t="inlineStr">
        <is>
          <t>AUTH-18</t>
        </is>
      </c>
      <c r="D19" s="21" t="inlineStr">
        <is>
          <t>Registrasi password pendek / tidak cocok</t>
        </is>
      </c>
      <c r="E19" s="21" t="inlineStr">
        <is>
          <t>Password 1234567, atau konfirmasi berbeda</t>
        </is>
      </c>
      <c r="F19" s="21" t="inlineStr">
        <is>
          <t>Error validasi min 8 / konfirmasi</t>
        </is>
      </c>
      <c r="G19" s="24" t="n"/>
      <c r="H19" s="25" t="n"/>
      <c r="I19" s="25" t="n"/>
      <c r="J19" s="26" t="n"/>
      <c r="K19" s="27" t="n"/>
      <c r="L19" s="26" t="n"/>
    </row>
    <row r="20">
      <c r="A20" s="24" t="n">
        <v>19</v>
      </c>
      <c r="B20" s="21" t="inlineStr">
        <is>
          <t>Autentikasi</t>
        </is>
      </c>
      <c r="C20" s="24" t="inlineStr">
        <is>
          <t>AUTH-19</t>
        </is>
      </c>
      <c r="D20" s="21" t="inlineStr">
        <is>
          <t>Lupa password</t>
        </is>
      </c>
      <c r="E20" s="21" t="inlineStr">
        <is>
          <t>/forgot-password, email terdaftar</t>
        </is>
      </c>
      <c r="F20" s="21" t="inlineStr">
        <is>
          <t>Pesan link reset terkirim (cek mail log)</t>
        </is>
      </c>
      <c r="G20" s="24" t="n"/>
      <c r="H20" s="25" t="n"/>
      <c r="I20" s="25" t="n"/>
      <c r="J20" s="26" t="n"/>
      <c r="K20" s="27" t="n"/>
      <c r="L20" s="26" t="n"/>
    </row>
    <row r="21">
      <c r="A21" s="24" t="n">
        <v>20</v>
      </c>
      <c r="B21" s="21" t="inlineStr">
        <is>
          <t>Autentikasi</t>
        </is>
      </c>
      <c r="C21" s="24" t="inlineStr">
        <is>
          <t>AUTH-20</t>
        </is>
      </c>
      <c r="D21" s="21" t="inlineStr">
        <is>
          <t>Lupa password, email tidak terdaftar</t>
        </is>
      </c>
      <c r="E21" s="21" t="inlineStr">
        <is>
          <t>email acak</t>
        </is>
      </c>
      <c r="F21" s="21" t="inlineStr">
        <is>
          <t>Pesan error dari Laravel</t>
        </is>
      </c>
      <c r="G21" s="24" t="n"/>
      <c r="H21" s="25" t="n"/>
      <c r="I21" s="25" t="n"/>
      <c r="J21" s="26" t="n"/>
      <c r="K21" s="27" t="n"/>
      <c r="L21" s="26" t="n"/>
    </row>
    <row r="22">
      <c r="A22" s="24" t="n">
        <v>21</v>
      </c>
      <c r="B22" s="21" t="inlineStr">
        <is>
          <t>Autentikasi</t>
        </is>
      </c>
      <c r="C22" s="24" t="inlineStr">
        <is>
          <t>AUTH-21</t>
        </is>
      </c>
      <c r="D22" s="21" t="inlineStr">
        <is>
          <t>Reset password</t>
        </is>
      </c>
      <c r="E22" s="21" t="inlineStr">
        <is>
          <t>Buka link dari email, isi password baru</t>
        </is>
      </c>
      <c r="F22" s="21" t="inlineStr">
        <is>
          <t>Password berubah, bisa login dengan password baru</t>
        </is>
      </c>
      <c r="G22" s="24" t="n"/>
      <c r="H22" s="25" t="n"/>
      <c r="I22" s="25" t="n"/>
      <c r="J22" s="26" t="n"/>
      <c r="K22" s="27" t="n"/>
      <c r="L22" s="26" t="n"/>
    </row>
    <row r="23">
      <c r="A23" s="24" t="n">
        <v>22</v>
      </c>
      <c r="B23" s="21" t="inlineStr">
        <is>
          <t>Autentikasi</t>
        </is>
      </c>
      <c r="C23" s="24" t="inlineStr">
        <is>
          <t>AUTH-22</t>
        </is>
      </c>
      <c r="D23" s="21" t="inlineStr">
        <is>
          <t>Login Google belum dikonfigurasi</t>
        </is>
      </c>
      <c r="E23" s="21" t="inlineStr">
        <is>
          <t>GOOGLE_CLIENT_ID kosong, klik "Masuk dengan Google"</t>
        </is>
      </c>
      <c r="F23" s="21" t="inlineStr">
        <is>
          <t>Kembali ke /user/login dengan pesan "belum bisa dipakai"</t>
        </is>
      </c>
      <c r="G23" s="24" t="n"/>
      <c r="H23" s="25" t="n"/>
      <c r="I23" s="25" t="n"/>
      <c r="J23" s="26" t="n"/>
      <c r="K23" s="27" t="n"/>
      <c r="L23" s="26" t="n"/>
    </row>
    <row r="24">
      <c r="A24" s="24" t="n">
        <v>23</v>
      </c>
      <c r="B24" s="21" t="inlineStr">
        <is>
          <t>Autentikasi</t>
        </is>
      </c>
      <c r="C24" s="24" t="inlineStr">
        <is>
          <t>AUTH-23</t>
        </is>
      </c>
      <c r="D24" s="21" t="inlineStr">
        <is>
          <t>Login Google akun baru</t>
        </is>
      </c>
      <c r="E24" s="21" t="inlineStr">
        <is>
          <t>Google OAuth dengan email baru</t>
        </is>
      </c>
      <c r="F24" s="21" t="inlineStr">
        <is>
          <t>Akun role user dibuat, email terverifikasi, masuk dashboard</t>
        </is>
      </c>
      <c r="G24" s="24" t="n"/>
      <c r="H24" s="25" t="n"/>
      <c r="I24" s="25" t="n"/>
      <c r="J24" s="26" t="n"/>
      <c r="K24" s="27" t="n"/>
      <c r="L24" s="26" t="n"/>
    </row>
    <row r="25">
      <c r="A25" s="24" t="n">
        <v>24</v>
      </c>
      <c r="B25" s="21" t="inlineStr">
        <is>
          <t>Autentikasi</t>
        </is>
      </c>
      <c r="C25" s="24" t="inlineStr">
        <is>
          <t>AUTH-24</t>
        </is>
      </c>
      <c r="D25" s="21" t="inlineStr">
        <is>
          <t>Login Google pakai email petugas</t>
        </is>
      </c>
      <c r="E25" s="21" t="inlineStr">
        <is>
          <t>Email Google = cs@travel.test</t>
        </is>
      </c>
      <c r="F25" s="21" t="inlineStr">
        <is>
          <t>Ditolak: "terdaftar sebagai akun petugas"</t>
        </is>
      </c>
      <c r="G25" s="24" t="n"/>
      <c r="H25" s="25" t="n"/>
      <c r="I25" s="25" t="n"/>
      <c r="J25" s="26" t="n"/>
      <c r="K25" s="27" t="n"/>
      <c r="L25" s="26" t="n"/>
    </row>
    <row r="26">
      <c r="A26" s="24" t="n">
        <v>25</v>
      </c>
      <c r="B26" s="21" t="inlineStr">
        <is>
          <t>Autentikasi</t>
        </is>
      </c>
      <c r="C26" s="24" t="inlineStr">
        <is>
          <t>AUTH-25</t>
        </is>
      </c>
      <c r="D26" s="21" t="inlineStr">
        <is>
          <t>Google meng-klaim booking tamu</t>
        </is>
      </c>
      <c r="E26" s="21" t="inlineStr">
        <is>
          <t>Pesan sebagai tamu dengan email X, lalu login Google dengan email X</t>
        </is>
      </c>
      <c r="F26" s="21" t="inlineStr">
        <is>
          <t>Booking tamu pindah ke akun</t>
        </is>
      </c>
      <c r="G26" s="24" t="n"/>
      <c r="H26" s="25" t="n"/>
      <c r="I26" s="25" t="n"/>
      <c r="J26" s="26" t="n"/>
      <c r="K26" s="27" t="n"/>
      <c r="L26" s="26" t="n"/>
    </row>
    <row r="27">
      <c r="A27" s="24" t="n">
        <v>26</v>
      </c>
      <c r="B27" s="21" t="inlineStr">
        <is>
          <t>Autentikasi</t>
        </is>
      </c>
      <c r="C27" s="24" t="inlineStr">
        <is>
          <t>AUTH-26</t>
        </is>
      </c>
      <c r="D27" s="21" t="inlineStr">
        <is>
          <t>Logout petugas</t>
        </is>
      </c>
      <c r="E27" s="21" t="inlineStr">
        <is>
          <t>Klik Keluar di dashboard petugas</t>
        </is>
      </c>
      <c r="F27" s="21" t="inlineStr">
        <is>
          <t>Sesi berakhir, kembali ke /login</t>
        </is>
      </c>
      <c r="G27" s="24" t="n"/>
      <c r="H27" s="25" t="n"/>
      <c r="I27" s="25" t="n"/>
      <c r="J27" s="26" t="n"/>
      <c r="K27" s="27" t="n"/>
      <c r="L27" s="26" t="n"/>
    </row>
    <row r="28">
      <c r="A28" s="24" t="n">
        <v>27</v>
      </c>
      <c r="B28" s="21" t="inlineStr">
        <is>
          <t>Autentikasi</t>
        </is>
      </c>
      <c r="C28" s="24" t="inlineStr">
        <is>
          <t>AUTH-27</t>
        </is>
      </c>
      <c r="D28" s="21" t="inlineStr">
        <is>
          <t>Logout penumpang</t>
        </is>
      </c>
      <c r="E28" s="21" t="inlineStr">
        <is>
          <t>Klik Keluar di dashboard penumpang</t>
        </is>
      </c>
      <c r="F28" s="21" t="inlineStr">
        <is>
          <t>Kembali ke /user/login</t>
        </is>
      </c>
      <c r="G28" s="24" t="n"/>
      <c r="H28" s="25" t="n"/>
      <c r="I28" s="25" t="n"/>
      <c r="J28" s="26" t="n"/>
      <c r="K28" s="27" t="n"/>
      <c r="L28" s="26" t="n"/>
    </row>
    <row r="29">
      <c r="A29" s="24" t="n">
        <v>28</v>
      </c>
      <c r="B29" s="21" t="inlineStr">
        <is>
          <t>Autentikasi</t>
        </is>
      </c>
      <c r="C29" s="24" t="inlineStr">
        <is>
          <t>AUTH-28</t>
        </is>
      </c>
      <c r="D29" s="21" t="inlineStr">
        <is>
          <t>Halaman login saat sudah login</t>
        </is>
      </c>
      <c r="E29" s="21" t="inlineStr">
        <is>
          <t>Login, lalu buka /login atau /register</t>
        </is>
      </c>
      <c r="F29" s="21" t="inlineStr">
        <is>
          <t>Diarahkan keluar dari halaman tamu</t>
        </is>
      </c>
      <c r="G29" s="24" t="n"/>
      <c r="H29" s="25" t="n"/>
      <c r="I29" s="25" t="n"/>
      <c r="J29" s="26" t="n"/>
      <c r="K29" s="27" t="n"/>
      <c r="L29" s="26" t="n"/>
    </row>
    <row r="30">
      <c r="A30" s="24" t="n">
        <v>29</v>
      </c>
      <c r="B30" s="21" t="inlineStr">
        <is>
          <t>Kontrol akses antar role</t>
        </is>
      </c>
      <c r="C30" s="24" t="inlineStr">
        <is>
          <t>ACL-01</t>
        </is>
      </c>
      <c r="D30" s="21" t="inlineStr">
        <is>
          <t>Akses semua dashboard sebagai Tamu (belum login)</t>
        </is>
      </c>
      <c r="E30" s="21" t="inlineStr">
        <is>
          <t>Buka tiap URL: /dashboard/admin, /admin/dashboard, /driver/dashboard, /customer-service/dashboard, /user/dashboard</t>
        </is>
      </c>
      <c r="F30" s="21" t="inlineStr">
        <is>
          <t>/dashboard/admin: → /login; /admin/dashboard: → /login; /driver/dashboard: → /login; /customer-service/dashboard: → /login; /user/dashboard: → /user/login</t>
        </is>
      </c>
      <c r="G30" s="24" t="n"/>
      <c r="H30" s="25" t="n"/>
      <c r="I30" s="25" t="n"/>
      <c r="J30" s="26" t="n"/>
      <c r="K30" s="27" t="n"/>
      <c r="L30" s="26" t="n"/>
    </row>
    <row r="31">
      <c r="A31" s="24" t="n">
        <v>30</v>
      </c>
      <c r="B31" s="21" t="inlineStr">
        <is>
          <t>Kontrol akses antar role</t>
        </is>
      </c>
      <c r="C31" s="24" t="inlineStr">
        <is>
          <t>ACL-02</t>
        </is>
      </c>
      <c r="D31" s="21" t="inlineStr">
        <is>
          <t>Akses semua dashboard sebagai Admin Utama</t>
        </is>
      </c>
      <c r="E31" s="21" t="inlineStr">
        <is>
          <t>Buka tiap URL: /dashboard/admin, /admin/dashboard, /driver/dashboard, /customer-service/dashboard, /user/dashboard</t>
        </is>
      </c>
      <c r="F31" s="21" t="inlineStr">
        <is>
          <t>/dashboard/admin: 200; /admin/dashboard: 403; /driver/dashboard: 403; /customer-service/dashboard: 403; /user/dashboard: 403</t>
        </is>
      </c>
      <c r="G31" s="24" t="n"/>
      <c r="H31" s="25" t="n"/>
      <c r="I31" s="25" t="n"/>
      <c r="J31" s="26" t="n"/>
      <c r="K31" s="27" t="n"/>
      <c r="L31" s="26" t="n"/>
    </row>
    <row r="32">
      <c r="A32" s="24" t="n">
        <v>31</v>
      </c>
      <c r="B32" s="21" t="inlineStr">
        <is>
          <t>Kontrol akses antar role</t>
        </is>
      </c>
      <c r="C32" s="24" t="inlineStr">
        <is>
          <t>ACL-03</t>
        </is>
      </c>
      <c r="D32" s="21" t="inlineStr">
        <is>
          <t>Akses semua dashboard sebagai Staff</t>
        </is>
      </c>
      <c r="E32" s="21" t="inlineStr">
        <is>
          <t>Buka tiap URL: /dashboard/admin, /admin/dashboard, /driver/dashboard, /customer-service/dashboard, /user/dashboard</t>
        </is>
      </c>
      <c r="F32" s="21" t="inlineStr">
        <is>
          <t>/dashboard/admin: 403; /admin/dashboard: 200; /driver/dashboard: 403; /customer-service/dashboard: 403; /user/dashboard: 403</t>
        </is>
      </c>
      <c r="G32" s="24" t="n"/>
      <c r="H32" s="25" t="n"/>
      <c r="I32" s="25" t="n"/>
      <c r="J32" s="26" t="n"/>
      <c r="K32" s="27" t="n"/>
      <c r="L32" s="26" t="n"/>
    </row>
    <row r="33">
      <c r="A33" s="24" t="n">
        <v>32</v>
      </c>
      <c r="B33" s="21" t="inlineStr">
        <is>
          <t>Kontrol akses antar role</t>
        </is>
      </c>
      <c r="C33" s="24" t="inlineStr">
        <is>
          <t>ACL-04</t>
        </is>
      </c>
      <c r="D33" s="21" t="inlineStr">
        <is>
          <t>Akses semua dashboard sebagai Driver</t>
        </is>
      </c>
      <c r="E33" s="21" t="inlineStr">
        <is>
          <t>Buka tiap URL: /dashboard/admin, /admin/dashboard, /driver/dashboard, /customer-service/dashboard, /user/dashboard</t>
        </is>
      </c>
      <c r="F33" s="21" t="inlineStr">
        <is>
          <t>/dashboard/admin: 403; /admin/dashboard: 403; /driver/dashboard: 200; /customer-service/dashboard: 403; /user/dashboard: 403</t>
        </is>
      </c>
      <c r="G33" s="24" t="n"/>
      <c r="H33" s="25" t="n"/>
      <c r="I33" s="25" t="n"/>
      <c r="J33" s="26" t="n"/>
      <c r="K33" s="27" t="n"/>
      <c r="L33" s="26" t="n"/>
    </row>
    <row r="34">
      <c r="A34" s="24" t="n">
        <v>33</v>
      </c>
      <c r="B34" s="21" t="inlineStr">
        <is>
          <t>Kontrol akses antar role</t>
        </is>
      </c>
      <c r="C34" s="24" t="inlineStr">
        <is>
          <t>ACL-05</t>
        </is>
      </c>
      <c r="D34" s="21" t="inlineStr">
        <is>
          <t>Akses semua dashboard sebagai CS</t>
        </is>
      </c>
      <c r="E34" s="21" t="inlineStr">
        <is>
          <t>Buka tiap URL: /dashboard/admin, /admin/dashboard, /driver/dashboard, /customer-service/dashboard, /user/dashboard</t>
        </is>
      </c>
      <c r="F34" s="21" t="inlineStr">
        <is>
          <t>/dashboard/admin: 403; /admin/dashboard: 403; /driver/dashboard: 403; /customer-service/dashboard: 200; /user/dashboard: 403</t>
        </is>
      </c>
      <c r="G34" s="24" t="n"/>
      <c r="H34" s="25" t="n"/>
      <c r="I34" s="25" t="n"/>
      <c r="J34" s="26" t="n"/>
      <c r="K34" s="27" t="n"/>
      <c r="L34" s="26" t="n"/>
    </row>
    <row r="35">
      <c r="A35" s="24" t="n">
        <v>34</v>
      </c>
      <c r="B35" s="21" t="inlineStr">
        <is>
          <t>Kontrol akses antar role</t>
        </is>
      </c>
      <c r="C35" s="24" t="inlineStr">
        <is>
          <t>ACL-06</t>
        </is>
      </c>
      <c r="D35" s="21" t="inlineStr">
        <is>
          <t>Akses semua dashboard sebagai Penumpang</t>
        </is>
      </c>
      <c r="E35" s="21" t="inlineStr">
        <is>
          <t>Buka tiap URL: /dashboard/admin, /admin/dashboard, /driver/dashboard, /customer-service/dashboard, /user/dashboard</t>
        </is>
      </c>
      <c r="F35" s="21" t="inlineStr">
        <is>
          <t>/dashboard/admin: 403; /admin/dashboard: 403; /driver/dashboard: 403; /customer-service/dashboard: 403; /user/dashboard: 200</t>
        </is>
      </c>
      <c r="G35" s="24" t="n"/>
      <c r="H35" s="25" t="n"/>
      <c r="I35" s="25" t="n"/>
      <c r="J35" s="26" t="n"/>
      <c r="K35" s="27" t="n"/>
      <c r="L35" s="26" t="n"/>
    </row>
    <row r="36">
      <c r="A36" s="24" t="n">
        <v>35</v>
      </c>
      <c r="B36" s="21" t="inlineStr">
        <is>
          <t>Kontrol akses antar role</t>
        </is>
      </c>
      <c r="C36" s="24" t="inlineStr">
        <is>
          <t>ACL-07</t>
        </is>
      </c>
      <c r="D36" s="21" t="inlineStr">
        <is>
          <t>Aksi POST/PATCH lintas role</t>
        </is>
      </c>
      <c r="E36" s="21" t="inlineStr">
        <is>
          <t>Sebagai staff, kirim PATCH /refund/{id}/approve</t>
        </is>
      </c>
      <c r="F36" s="21" t="inlineStr">
        <is>
          <t>403</t>
        </is>
      </c>
      <c r="G36" s="24" t="n"/>
      <c r="H36" s="25" t="n"/>
      <c r="I36" s="25" t="n"/>
      <c r="J36" s="26" t="n"/>
      <c r="K36" s="27" t="n"/>
      <c r="L36" s="26" t="n"/>
    </row>
    <row r="37">
      <c r="A37" s="24" t="n">
        <v>36</v>
      </c>
      <c r="B37" s="21" t="inlineStr">
        <is>
          <t>Kontrol akses antar role</t>
        </is>
      </c>
      <c r="C37" s="24" t="inlineStr">
        <is>
          <t>ACL-08</t>
        </is>
      </c>
      <c r="D37" s="21" t="inlineStr">
        <is>
          <t>Penumpang buka booking orang lain</t>
        </is>
      </c>
      <c r="E37" s="21" t="inlineStr">
        <is>
          <t>Login dewi@, buka /user/booking/pembayaran/{id booking milik user@}</t>
        </is>
      </c>
      <c r="F37" s="21" t="inlineStr">
        <is>
          <t>403</t>
        </is>
      </c>
      <c r="G37" s="24" t="n"/>
      <c r="H37" s="25" t="n"/>
      <c r="I37" s="25" t="n"/>
      <c r="J37" s="26" t="n"/>
      <c r="K37" s="27" t="n"/>
      <c r="L37" s="26" t="n"/>
    </row>
    <row r="38">
      <c r="A38" s="24" t="n">
        <v>37</v>
      </c>
      <c r="B38" s="21" t="inlineStr">
        <is>
          <t>Kontrol akses antar role</t>
        </is>
      </c>
      <c r="C38" s="24" t="inlineStr">
        <is>
          <t>ACL-09</t>
        </is>
      </c>
      <c r="D38" s="21" t="inlineStr">
        <is>
          <t>Tamu buka booking tamu lain</t>
        </is>
      </c>
      <c r="E38" s="21" t="inlineStr">
        <is>
          <t>Browser A buat booking tamu, browser B (sesi lain) buka URL-nya</t>
        </is>
      </c>
      <c r="F38" s="21" t="inlineStr">
        <is>
          <t>403</t>
        </is>
      </c>
      <c r="G38" s="24" t="n"/>
      <c r="H38" s="25" t="n"/>
      <c r="I38" s="25" t="n"/>
      <c r="J38" s="26" t="n"/>
      <c r="K38" s="27" t="n"/>
      <c r="L38" s="26" t="n"/>
    </row>
    <row r="39">
      <c r="A39" s="24" t="n">
        <v>38</v>
      </c>
      <c r="B39" s="21" t="inlineStr">
        <is>
          <t>Kontrol akses antar role</t>
        </is>
      </c>
      <c r="C39" s="24" t="inlineStr">
        <is>
          <t>ACL-10</t>
        </is>
      </c>
      <c r="D39" s="21" t="inlineStr">
        <is>
          <t>Penumpang ubah penumpang tersimpan milik orang lain</t>
        </is>
      </c>
      <c r="E39" s="21" t="inlineStr">
        <is>
          <t>PUT /user/penumpang-tersimpan/{id milik user lain}</t>
        </is>
      </c>
      <c r="F39" s="21" t="inlineStr">
        <is>
          <t>403</t>
        </is>
      </c>
      <c r="G39" s="24" t="n"/>
      <c r="H39" s="25" t="n"/>
      <c r="I39" s="25" t="n"/>
      <c r="J39" s="26" t="n"/>
      <c r="K39" s="27" t="n"/>
      <c r="L39" s="26" t="n"/>
    </row>
    <row r="40">
      <c r="A40" s="24" t="n">
        <v>39</v>
      </c>
      <c r="B40" s="21" t="inlineStr">
        <is>
          <t>Kontrol akses antar role</t>
        </is>
      </c>
      <c r="C40" s="24" t="inlineStr">
        <is>
          <t>ACL-11</t>
        </is>
      </c>
      <c r="D40" s="21" t="inlineStr">
        <is>
          <t>Penumpang refund/ulasan booking orang lain</t>
        </is>
      </c>
      <c r="E40" s="21" t="inlineStr">
        <is>
          <t>POST /user/tiket/{booking lain}/refund</t>
        </is>
      </c>
      <c r="F40" s="21" t="inlineStr">
        <is>
          <t>403</t>
        </is>
      </c>
      <c r="G40" s="24" t="n"/>
      <c r="H40" s="25" t="n"/>
      <c r="I40" s="25" t="n"/>
      <c r="J40" s="26" t="n"/>
      <c r="K40" s="27" t="n"/>
      <c r="L40" s="26" t="n"/>
    </row>
    <row r="41">
      <c r="A41" s="24" t="n">
        <v>40</v>
      </c>
      <c r="B41" s="21" t="inlineStr">
        <is>
          <t>Kontrol akses antar role</t>
        </is>
      </c>
      <c r="C41" s="24" t="inlineStr">
        <is>
          <t>ACL-12</t>
        </is>
      </c>
      <c r="D41" s="21" t="inlineStr">
        <is>
          <t>Link e-tiket tanpa signature</t>
        </is>
      </c>
      <c r="E41" s="21" t="inlineStr">
        <is>
          <t>Buka /e-tiket/{id} tanpa query signature</t>
        </is>
      </c>
      <c r="F41" s="21" t="inlineStr">
        <is>
          <t>403 (invalid signature)</t>
        </is>
      </c>
      <c r="G41" s="24" t="n"/>
      <c r="H41" s="25" t="n"/>
      <c r="I41" s="25" t="n"/>
      <c r="J41" s="26" t="n"/>
      <c r="K41" s="27" t="n"/>
      <c r="L41" s="26" t="n"/>
    </row>
    <row r="42">
      <c r="A42" s="24" t="n">
        <v>41</v>
      </c>
      <c r="B42" s="21" t="inlineStr">
        <is>
          <t>Kontrol akses antar role</t>
        </is>
      </c>
      <c r="C42" s="24" t="inlineStr">
        <is>
          <t>ACL-13</t>
        </is>
      </c>
      <c r="D42" s="21" t="inlineStr">
        <is>
          <t>Link e-tiket booking belum lunas</t>
        </is>
      </c>
      <c r="E42" s="21" t="inlineStr">
        <is>
          <t>URL bertanda tangan untuk booking pending</t>
        </is>
      </c>
      <c r="F42" s="21" t="inlineStr">
        <is>
          <t>404</t>
        </is>
      </c>
      <c r="G42" s="24" t="n"/>
      <c r="H42" s="25" t="n"/>
      <c r="I42" s="25" t="n"/>
      <c r="J42" s="26" t="n"/>
      <c r="K42" s="27" t="n"/>
      <c r="L42" s="26" t="n"/>
    </row>
    <row r="43">
      <c r="A43" s="24" t="n">
        <v>42</v>
      </c>
      <c r="B43" s="21" t="inlineStr">
        <is>
          <t>Publik / Tamu (tanpa login)</t>
        </is>
      </c>
      <c r="C43" s="24" t="inlineStr">
        <is>
          <t>GST-01</t>
        </is>
      </c>
      <c r="D43" s="21" t="inlineStr">
        <is>
          <t>Landing page</t>
        </is>
      </c>
      <c r="E43" s="21" t="inlineStr">
        <is>
          <t>Buka /</t>
        </is>
      </c>
      <c r="F43" s="21" t="inlineStr">
        <is>
          <t>Halaman tampil: rute, armada, ulasan, tanpa error</t>
        </is>
      </c>
      <c r="G43" s="24" t="n"/>
      <c r="H43" s="25" t="n"/>
      <c r="I43" s="25" t="n"/>
      <c r="J43" s="26" t="n"/>
      <c r="K43" s="27" t="n"/>
      <c r="L43" s="26" t="n"/>
    </row>
    <row r="44">
      <c r="A44" s="24" t="n">
        <v>43</v>
      </c>
      <c r="B44" s="21" t="inlineStr">
        <is>
          <t>Publik / Tamu (tanpa login)</t>
        </is>
      </c>
      <c r="C44" s="24" t="inlineStr">
        <is>
          <t>GST-02</t>
        </is>
      </c>
      <c r="D44" s="21" t="inlineStr">
        <is>
          <t>Cari jadwal valid</t>
        </is>
      </c>
      <c r="E44" s="21" t="inlineStr">
        <is>
          <t>/search, asal ≠ tujuan, tanggal hari ini/besok, 1 penumpang</t>
        </is>
      </c>
      <c r="F44" s="21" t="inlineStr">
        <is>
          <t>Daftar jadwal sesuai rute, terurut jam</t>
        </is>
      </c>
      <c r="G44" s="24" t="n"/>
      <c r="H44" s="25" t="n"/>
      <c r="I44" s="25" t="n"/>
      <c r="J44" s="26" t="n"/>
      <c r="K44" s="27" t="n"/>
      <c r="L44" s="26" t="n"/>
    </row>
    <row r="45">
      <c r="A45" s="24" t="n">
        <v>44</v>
      </c>
      <c r="B45" s="21" t="inlineStr">
        <is>
          <t>Publik / Tamu (tanpa login)</t>
        </is>
      </c>
      <c r="C45" s="24" t="inlineStr">
        <is>
          <t>GST-03</t>
        </is>
      </c>
      <c r="D45" s="21" t="inlineStr">
        <is>
          <t>Cari asal = tujuan</t>
        </is>
      </c>
      <c r="E45" s="21" t="inlineStr">
        <is>
          <t>Asal dan tujuan sama</t>
        </is>
      </c>
      <c r="F45" s="21" t="inlineStr">
        <is>
          <t>Error validasi different</t>
        </is>
      </c>
      <c r="G45" s="24" t="n"/>
      <c r="H45" s="25" t="n"/>
      <c r="I45" s="25" t="n"/>
      <c r="J45" s="26" t="n"/>
      <c r="K45" s="27" t="n"/>
      <c r="L45" s="26" t="n"/>
    </row>
    <row r="46">
      <c r="A46" s="24" t="n">
        <v>45</v>
      </c>
      <c r="B46" s="21" t="inlineStr">
        <is>
          <t>Publik / Tamu (tanpa login)</t>
        </is>
      </c>
      <c r="C46" s="24" t="inlineStr">
        <is>
          <t>GST-04</t>
        </is>
      </c>
      <c r="D46" s="21" t="inlineStr">
        <is>
          <t>Cari tanggal lampau</t>
        </is>
      </c>
      <c r="E46" s="21" t="inlineStr">
        <is>
          <t>Tanggal kemarin</t>
        </is>
      </c>
      <c r="F46" s="21" t="inlineStr">
        <is>
          <t>Error validasi tanggal</t>
        </is>
      </c>
      <c r="G46" s="24" t="n"/>
      <c r="H46" s="25" t="n"/>
      <c r="I46" s="25" t="n"/>
      <c r="J46" s="26" t="n"/>
      <c r="K46" s="27" t="n"/>
      <c r="L46" s="26" t="n"/>
    </row>
    <row r="47">
      <c r="A47" s="24" t="n">
        <v>46</v>
      </c>
      <c r="B47" s="21" t="inlineStr">
        <is>
          <t>Publik / Tamu (tanpa login)</t>
        </is>
      </c>
      <c r="C47" s="24" t="inlineStr">
        <is>
          <t>GST-05</t>
        </is>
      </c>
      <c r="D47" s="21" t="inlineStr">
        <is>
          <t>Jumlah penumpang di luar batas</t>
        </is>
      </c>
      <c r="E47" s="21" t="inlineStr">
        <is>
          <t>0 atau 11</t>
        </is>
      </c>
      <c r="F47" s="21" t="inlineStr">
        <is>
          <t>Error validasi (1–10)</t>
        </is>
      </c>
      <c r="G47" s="24" t="n"/>
      <c r="H47" s="25" t="n"/>
      <c r="I47" s="25" t="n"/>
      <c r="J47" s="26" t="n"/>
      <c r="K47" s="27" t="n"/>
      <c r="L47" s="26" t="n"/>
    </row>
    <row r="48">
      <c r="A48" s="24" t="n">
        <v>47</v>
      </c>
      <c r="B48" s="21" t="inlineStr">
        <is>
          <t>Publik / Tamu (tanpa login)</t>
        </is>
      </c>
      <c r="C48" s="24" t="inlineStr">
        <is>
          <t>GST-06</t>
        </is>
      </c>
      <c r="D48" s="21" t="inlineStr">
        <is>
          <t>Jadwal hari ini yang sudah lewat</t>
        </is>
      </c>
      <c r="E48" s="21" t="inlineStr">
        <is>
          <t>Cari hari ini setelah jam salah satu jadwal</t>
        </is>
      </c>
      <c r="F48" s="21" t="inlineStr">
        <is>
          <t>Jadwal yang sudah lewat tidak muncul</t>
        </is>
      </c>
      <c r="G48" s="24" t="n"/>
      <c r="H48" s="25" t="n"/>
      <c r="I48" s="25" t="n"/>
      <c r="J48" s="26" t="n"/>
      <c r="K48" s="27" t="n"/>
      <c r="L48" s="26" t="n"/>
    </row>
    <row r="49">
      <c r="A49" s="24" t="n">
        <v>48</v>
      </c>
      <c r="B49" s="21" t="inlineStr">
        <is>
          <t>Publik / Tamu (tanpa login)</t>
        </is>
      </c>
      <c r="C49" s="24" t="inlineStr">
        <is>
          <t>GST-07</t>
        </is>
      </c>
      <c r="D49" s="21" t="inlineStr">
        <is>
          <t>Rute tidak terhubung langsung</t>
        </is>
      </c>
      <c r="E49" s="21" t="inlineStr">
        <is>
          <t>Pilih kota yang hanya terhubung via transit</t>
        </is>
      </c>
      <c r="F49" s="21" t="inlineStr">
        <is>
          <t>Info kota transit tampil, tanpa error</t>
        </is>
      </c>
      <c r="G49" s="24" t="n"/>
      <c r="H49" s="25" t="n"/>
      <c r="I49" s="25" t="n"/>
      <c r="J49" s="26" t="n"/>
      <c r="K49" s="27" t="n"/>
      <c r="L49" s="26" t="n"/>
    </row>
    <row r="50">
      <c r="A50" s="24" t="n">
        <v>49</v>
      </c>
      <c r="B50" s="21" t="inlineStr">
        <is>
          <t>Publik / Tamu (tanpa login)</t>
        </is>
      </c>
      <c r="C50" s="24" t="inlineStr">
        <is>
          <t>GST-08</t>
        </is>
      </c>
      <c r="D50" s="21" t="inlineStr">
        <is>
          <t>Armada maintenance</t>
        </is>
      </c>
      <c r="E50" s="21" t="inlineStr">
        <is>
          <t>Ubah kendaraan jadwal ke maintenance, cari lagi</t>
        </is>
      </c>
      <c r="F50" s="21" t="inlineStr">
        <is>
          <t>Jadwal tersebut tidak tampil</t>
        </is>
      </c>
      <c r="G50" s="24" t="n"/>
      <c r="H50" s="25" t="n"/>
      <c r="I50" s="25" t="n"/>
      <c r="J50" s="26" t="n"/>
      <c r="K50" s="27" t="n"/>
      <c r="L50" s="26" t="n"/>
    </row>
    <row r="51">
      <c r="A51" s="24" t="n">
        <v>50</v>
      </c>
      <c r="B51" s="21" t="inlineStr">
        <is>
          <t>Publik / Tamu (tanpa login)</t>
        </is>
      </c>
      <c r="C51" s="24" t="inlineStr">
        <is>
          <t>GST-09</t>
        </is>
      </c>
      <c r="D51" s="21" t="inlineStr">
        <is>
          <t>Checkout tamu end-to-end</t>
        </is>
      </c>
      <c r="E51" s="21" t="inlineStr">
        <is>
          <t>Pilih kursi → isi data pemesan &amp; penumpang → bayar → simulasi bayar</t>
        </is>
      </c>
      <c r="F51" s="21" t="inlineStr">
        <is>
          <t>Booking confirmed, e-tiket &amp; QR tampil</t>
        </is>
      </c>
      <c r="G51" s="24" t="n"/>
      <c r="H51" s="25" t="n"/>
      <c r="I51" s="25" t="n"/>
      <c r="J51" s="26" t="n"/>
      <c r="K51" s="27" t="n"/>
      <c r="L51" s="26" t="n"/>
    </row>
    <row r="52">
      <c r="A52" s="24" t="n">
        <v>51</v>
      </c>
      <c r="B52" s="21" t="inlineStr">
        <is>
          <t>Publik / Tamu (tanpa login)</t>
        </is>
      </c>
      <c r="C52" s="24" t="inlineStr">
        <is>
          <t>GST-10</t>
        </is>
      </c>
      <c r="D52" s="21" t="inlineStr">
        <is>
          <t>Tamu lalu login</t>
        </is>
      </c>
      <c r="E52" s="21" t="inlineStr">
        <is>
          <t>Mulai checkout tamu, lalu login/registrasi</t>
        </is>
      </c>
      <c r="F52" s="21" t="inlineStr">
        <is>
          <t>Booking otomatis jadi milik akun</t>
        </is>
      </c>
      <c r="G52" s="24" t="n"/>
      <c r="H52" s="25" t="n"/>
      <c r="I52" s="25" t="n"/>
      <c r="J52" s="26" t="n"/>
      <c r="K52" s="27" t="n"/>
      <c r="L52" s="26" t="n"/>
    </row>
    <row r="53">
      <c r="A53" s="24" t="n">
        <v>52</v>
      </c>
      <c r="B53" s="21" t="inlineStr">
        <is>
          <t>Penumpang (role user) › Dashboard &amp; pencarian</t>
        </is>
      </c>
      <c r="C53" s="24" t="inlineStr">
        <is>
          <t>USR-01</t>
        </is>
      </c>
      <c r="D53" s="21" t="inlineStr">
        <is>
          <t>Dashboard</t>
        </is>
      </c>
      <c r="E53" s="21" t="inlineStr">
        <is>
          <t>Buka /user/dashboard</t>
        </is>
      </c>
      <c r="F53" s="21" t="inlineStr">
        <is>
          <t>Ringkasan tampil tanpa error</t>
        </is>
      </c>
      <c r="G53" s="24" t="n"/>
      <c r="H53" s="25" t="n"/>
      <c r="I53" s="25" t="n"/>
      <c r="J53" s="26" t="n"/>
      <c r="K53" s="27" t="n"/>
      <c r="L53" s="26" t="n"/>
    </row>
    <row r="54">
      <c r="A54" s="24" t="n">
        <v>53</v>
      </c>
      <c r="B54" s="21" t="inlineStr">
        <is>
          <t>Penumpang (role user) › Dashboard &amp; pencarian</t>
        </is>
      </c>
      <c r="C54" s="24" t="inlineStr">
        <is>
          <t>USR-02</t>
        </is>
      </c>
      <c r="D54" s="21" t="inlineStr">
        <is>
          <t>Menu alias</t>
        </is>
      </c>
      <c r="E54" s="21" t="inlineStr">
        <is>
          <t>Buka /booking/dashboard, /history/dashboard, /refund/dashboard</t>
        </is>
      </c>
      <c r="F54" s="21" t="inlineStr">
        <is>
          <t>Semua 200</t>
        </is>
      </c>
      <c r="G54" s="24" t="n"/>
      <c r="H54" s="25" t="n"/>
      <c r="I54" s="25" t="n"/>
      <c r="J54" s="26" t="n"/>
      <c r="K54" s="27" t="n"/>
      <c r="L54" s="26" t="n"/>
    </row>
    <row r="55">
      <c r="A55" s="24" t="n">
        <v>54</v>
      </c>
      <c r="B55" s="21" t="inlineStr">
        <is>
          <t>Penumpang (role user) › Dashboard &amp; pencarian</t>
        </is>
      </c>
      <c r="C55" s="24" t="inlineStr">
        <is>
          <t>USR-03</t>
        </is>
      </c>
      <c r="D55" s="21" t="inlineStr">
        <is>
          <t>Cari jadwal dari dashboard</t>
        </is>
      </c>
      <c r="E55" s="21" t="inlineStr">
        <is>
          <t>/user/cari-jadwal dengan data valid</t>
        </is>
      </c>
      <c r="F55" s="21" t="inlineStr">
        <is>
          <t>Hasil sama dengan GST-02</t>
        </is>
      </c>
      <c r="G55" s="24" t="n"/>
      <c r="H55" s="25" t="n"/>
      <c r="I55" s="25" t="n"/>
      <c r="J55" s="26" t="n"/>
      <c r="K55" s="27" t="n"/>
      <c r="L55" s="26" t="n"/>
    </row>
    <row r="56">
      <c r="A56" s="24" t="n">
        <v>55</v>
      </c>
      <c r="B56" s="21" t="inlineStr">
        <is>
          <t>Penumpang (role user) › Booking &amp; pembayaran</t>
        </is>
      </c>
      <c r="C56" s="24" t="inlineStr">
        <is>
          <t>USR-BK-01</t>
        </is>
      </c>
      <c r="D56" s="21" t="inlineStr">
        <is>
          <t>Pilih kursi</t>
        </is>
      </c>
      <c r="E56" s="21" t="inlineStr">
        <is>
          <t>Klik jadwal, pilih kursi sesuai jumlah penumpang</t>
        </is>
      </c>
      <c r="F56" s="21" t="inlineStr">
        <is>
          <t>Kursi terkunci, masuk halaman data penumpang dengan timer 15 menit</t>
        </is>
      </c>
      <c r="G56" s="24" t="n"/>
      <c r="H56" s="25" t="n"/>
      <c r="I56" s="25" t="n"/>
      <c r="J56" s="26" t="n"/>
      <c r="K56" s="27" t="n"/>
      <c r="L56" s="26" t="n"/>
    </row>
    <row r="57">
      <c r="A57" s="24" t="n">
        <v>56</v>
      </c>
      <c r="B57" s="21" t="inlineStr">
        <is>
          <t>Penumpang (role user) › Booking &amp; pembayaran</t>
        </is>
      </c>
      <c r="C57" s="24" t="inlineStr">
        <is>
          <t>USR-BK-02</t>
        </is>
      </c>
      <c r="D57" s="21" t="inlineStr">
        <is>
          <t>Jumlah kursi ≠ jumlah penumpang</t>
        </is>
      </c>
      <c r="E57" s="21" t="inlineStr">
        <is>
          <t>Penumpang 2, pilih 1 kursi</t>
        </is>
      </c>
      <c r="F57" s="21" t="inlineStr">
        <is>
          <t>Error validasi size</t>
        </is>
      </c>
      <c r="G57" s="24" t="n"/>
      <c r="H57" s="25" t="n"/>
      <c r="I57" s="25" t="n"/>
      <c r="J57" s="26" t="n"/>
      <c r="K57" s="27" t="n"/>
      <c r="L57" s="26" t="n"/>
    </row>
    <row r="58">
      <c r="A58" s="24" t="n">
        <v>57</v>
      </c>
      <c r="B58" s="21" t="inlineStr">
        <is>
          <t>Penumpang (role user) › Booking &amp; pembayaran</t>
        </is>
      </c>
      <c r="C58" s="24" t="inlineStr">
        <is>
          <t>USR-BK-03</t>
        </is>
      </c>
      <c r="D58" s="21" t="inlineStr">
        <is>
          <t>Kursi dari armada lain</t>
        </is>
      </c>
      <c r="E58" s="21" t="inlineStr">
        <is>
          <t>Kirim seat_ids milik kendaraan lain</t>
        </is>
      </c>
      <c r="F58" s="21" t="inlineStr">
        <is>
          <t>"Kursi yang dipilih tidak valid…"</t>
        </is>
      </c>
      <c r="G58" s="24" t="n"/>
      <c r="H58" s="25" t="n"/>
      <c r="I58" s="25" t="n"/>
      <c r="J58" s="26" t="n"/>
      <c r="K58" s="27" t="n"/>
      <c r="L58" s="26" t="n"/>
    </row>
    <row r="59">
      <c r="A59" s="24" t="n">
        <v>58</v>
      </c>
      <c r="B59" s="21" t="inlineStr">
        <is>
          <t>Penumpang (role user) › Booking &amp; pembayaran</t>
        </is>
      </c>
      <c r="C59" s="24" t="inlineStr">
        <is>
          <t>USR-BK-04</t>
        </is>
      </c>
      <c r="D59" s="21" t="inlineStr">
        <is>
          <t>Kursi bentrok</t>
        </is>
      </c>
      <c r="E59" s="21" t="inlineStr">
        <is>
          <t>Browser A mengunci kursi 1A, browser B (akun lain) memilih 1A</t>
        </is>
      </c>
      <c r="F59" s="21" t="inlineStr">
        <is>
          <t>B ditolak: "baru saja dikunci atau dipesan…"</t>
        </is>
      </c>
      <c r="G59" s="24" t="n"/>
      <c r="H59" s="25" t="n"/>
      <c r="I59" s="25" t="n"/>
      <c r="J59" s="26" t="n"/>
      <c r="K59" s="27" t="n"/>
      <c r="L59" s="26" t="n"/>
    </row>
    <row r="60">
      <c r="A60" s="24" t="n">
        <v>59</v>
      </c>
      <c r="B60" s="21" t="inlineStr">
        <is>
          <t>Penumpang (role user) › Booking &amp; pembayaran</t>
        </is>
      </c>
      <c r="C60" s="24" t="inlineStr">
        <is>
          <t>USR-BK-05</t>
        </is>
      </c>
      <c r="D60" s="21" t="inlineStr">
        <is>
          <t>Pilih ulang kursi</t>
        </is>
      </c>
      <c r="E60" s="21" t="inlineStr">
        <is>
          <t>Kunci kursi lalu kembali pilih kursi lain di jadwal yang sama</t>
        </is>
      </c>
      <c r="F60" s="21" t="inlineStr">
        <is>
          <t>Booking pending lama terhapus, hanya 1 booking pending</t>
        </is>
      </c>
      <c r="G60" s="24" t="n"/>
      <c r="H60" s="25" t="n"/>
      <c r="I60" s="25" t="n"/>
      <c r="J60" s="26" t="n"/>
      <c r="K60" s="27" t="n"/>
      <c r="L60" s="26" t="n"/>
    </row>
    <row r="61">
      <c r="A61" s="24" t="n">
        <v>60</v>
      </c>
      <c r="B61" s="21" t="inlineStr">
        <is>
          <t>Penumpang (role user) › Booking &amp; pembayaran</t>
        </is>
      </c>
      <c r="C61" s="24" t="inlineStr">
        <is>
          <t>USR-BK-06</t>
        </is>
      </c>
      <c r="D61" s="21" t="inlineStr">
        <is>
          <t>Kunci kursi habis</t>
        </is>
      </c>
      <c r="E61" s="21" t="inlineStr">
        <is>
          <t>Tunggu &gt; 15 menit di halaman data penumpang, refresh</t>
        </is>
      </c>
      <c r="F61" s="21" t="inlineStr">
        <is>
          <t>Booking batal, kembali ke pencarian dengan pesan waktu habis</t>
        </is>
      </c>
      <c r="G61" s="24" t="n"/>
      <c r="H61" s="25" t="n"/>
      <c r="I61" s="25" t="n"/>
      <c r="J61" s="26" t="n"/>
      <c r="K61" s="27" t="n"/>
      <c r="L61" s="26" t="n"/>
    </row>
    <row r="62">
      <c r="A62" s="24" t="n">
        <v>61</v>
      </c>
      <c r="B62" s="21" t="inlineStr">
        <is>
          <t>Penumpang (role user) › Booking &amp; pembayaran</t>
        </is>
      </c>
      <c r="C62" s="24" t="inlineStr">
        <is>
          <t>USR-BK-07</t>
        </is>
      </c>
      <c r="D62" s="21" t="inlineStr">
        <is>
          <t>Kursi lepas setelah kedaluwarsa</t>
        </is>
      </c>
      <c r="E62" s="21" t="inlineStr">
        <is>
          <t>Setelah USR-BK-06, akun lain pilih kursi yang sama</t>
        </is>
      </c>
      <c r="F62" s="21" t="inlineStr">
        <is>
          <t>Berhasil</t>
        </is>
      </c>
      <c r="G62" s="24" t="n"/>
      <c r="H62" s="25" t="n"/>
      <c r="I62" s="25" t="n"/>
      <c r="J62" s="26" t="n"/>
      <c r="K62" s="27" t="n"/>
      <c r="L62" s="26" t="n"/>
    </row>
    <row r="63">
      <c r="A63" s="24" t="n">
        <v>62</v>
      </c>
      <c r="B63" s="21" t="inlineStr">
        <is>
          <t>Penumpang (role user) › Booking &amp; pembayaran</t>
        </is>
      </c>
      <c r="C63" s="24" t="inlineStr">
        <is>
          <t>USR-BK-08</t>
        </is>
      </c>
      <c r="D63" s="21" t="inlineStr">
        <is>
          <t>Seat map kursi lunas</t>
        </is>
      </c>
      <c r="E63" s="21" t="inlineStr">
        <is>
          <t>Buka seat map jadwal yang ada booking lunas</t>
        </is>
      </c>
      <c r="F63" s="21" t="inlineStr">
        <is>
          <t>Kursi lunas tampil terisi, tidak bisa dipilih</t>
        </is>
      </c>
      <c r="G63" s="24" t="n"/>
      <c r="H63" s="25" t="n"/>
      <c r="I63" s="25" t="n"/>
      <c r="J63" s="26" t="n"/>
      <c r="K63" s="27" t="n"/>
      <c r="L63" s="26" t="n"/>
    </row>
    <row r="64">
      <c r="A64" s="24" t="n">
        <v>63</v>
      </c>
      <c r="B64" s="21" t="inlineStr">
        <is>
          <t>Penumpang (role user) › Booking &amp; pembayaran</t>
        </is>
      </c>
      <c r="C64" s="24" t="inlineStr">
        <is>
          <t>USR-BK-09</t>
        </is>
      </c>
      <c r="D64" s="21" t="inlineStr">
        <is>
          <t>Kursi penumpang yang sudah check-in</t>
        </is>
      </c>
      <c r="E64" s="21" t="inlineStr">
        <is>
          <t>Booking A lunas lalu check-in mandiri (USR-TK-03); akun B buka seat map jadwal yang sama</t>
        </is>
      </c>
      <c r="F64" s="21" t="inlineStr">
        <is>
          <t>Kursi A tetap terisi dan tidak bisa dikunci (BUG-05)</t>
        </is>
      </c>
      <c r="G64" s="28" t="inlineStr">
        <is>
          <t>BUG-05</t>
        </is>
      </c>
      <c r="H64" s="25" t="n"/>
      <c r="I64" s="25" t="n"/>
      <c r="J64" s="26" t="n"/>
      <c r="K64" s="27" t="n"/>
      <c r="L64" s="26" t="n"/>
    </row>
    <row r="65">
      <c r="A65" s="24" t="n">
        <v>64</v>
      </c>
      <c r="B65" s="21" t="inlineStr">
        <is>
          <t>Penumpang (role user) › Booking &amp; pembayaran</t>
        </is>
      </c>
      <c r="C65" s="24" t="inlineStr">
        <is>
          <t>USR-BK-10</t>
        </is>
      </c>
      <c r="D65" s="21" t="inlineStr">
        <is>
          <t>Jadwal batal/lewat lewat URL langsung</t>
        </is>
      </c>
      <c r="E65" s="21" t="inlineStr">
        <is>
          <t>Admin set jadwal Cancelled, lalu buka /user/booking/pilih-kursi/{id} dan kunci kursi</t>
        </is>
      </c>
      <c r="F65" s="21" t="inlineStr">
        <is>
          <t>Ditolak (BUG-20)</t>
        </is>
      </c>
      <c r="G65" s="28" t="inlineStr">
        <is>
          <t>BUG-20</t>
        </is>
      </c>
      <c r="H65" s="25" t="n"/>
      <c r="I65" s="25" t="n"/>
      <c r="J65" s="26" t="n"/>
      <c r="K65" s="27" t="n"/>
      <c r="L65" s="26" t="n"/>
    </row>
    <row r="66">
      <c r="A66" s="24" t="n">
        <v>65</v>
      </c>
      <c r="B66" s="21" t="inlineStr">
        <is>
          <t>Penumpang (role user) › Booking &amp; pembayaran</t>
        </is>
      </c>
      <c r="C66" s="24" t="inlineStr">
        <is>
          <t>USR-BK-11</t>
        </is>
      </c>
      <c r="D66" s="21" t="inlineStr">
        <is>
          <t>Validasi data pemesan</t>
        </is>
      </c>
      <c r="E66" s="21" t="inlineStr">
        <is>
          <t>HP abc, email tidak valid, nama kosong</t>
        </is>
      </c>
      <c r="F66" s="21" t="inlineStr">
        <is>
          <t>Error validasi; HP harus angka/+/-, min 8</t>
        </is>
      </c>
      <c r="G66" s="24" t="n"/>
      <c r="H66" s="25" t="n"/>
      <c r="I66" s="25" t="n"/>
      <c r="J66" s="26" t="n"/>
      <c r="K66" s="27" t="n"/>
      <c r="L66" s="26" t="n"/>
    </row>
    <row r="67">
      <c r="A67" s="24" t="n">
        <v>66</v>
      </c>
      <c r="B67" s="21" t="inlineStr">
        <is>
          <t>Penumpang (role user) › Booking &amp; pembayaran</t>
        </is>
      </c>
      <c r="C67" s="24" t="inlineStr">
        <is>
          <t>USR-BK-12</t>
        </is>
      </c>
      <c r="D67" s="21" t="inlineStr">
        <is>
          <t>Promo HEMATLIBURAN</t>
        </is>
      </c>
      <c r="E67" s="21" t="inlineStr">
        <is>
          <t>Rute Bandung–Jakarta, subtotal ≥ 100.000</t>
        </is>
      </c>
      <c r="F67" s="21" t="inlineStr">
        <is>
          <t>Diskon 25%, maks Rp50.000</t>
        </is>
      </c>
      <c r="G67" s="24" t="n"/>
      <c r="H67" s="25" t="n"/>
      <c r="I67" s="25" t="n"/>
      <c r="J67" s="26" t="n"/>
      <c r="K67" s="27" t="n"/>
      <c r="L67" s="26" t="n"/>
    </row>
    <row r="68">
      <c r="A68" s="24" t="n">
        <v>67</v>
      </c>
      <c r="B68" s="21" t="inlineStr">
        <is>
          <t>Penumpang (role user) › Booking &amp; pembayaran</t>
        </is>
      </c>
      <c r="C68" s="24" t="inlineStr">
        <is>
          <t>USR-BK-13</t>
        </is>
      </c>
      <c r="D68" s="21" t="inlineStr">
        <is>
          <t>HEMATLIBURAN rute lain / di bawah minimum</t>
        </is>
      </c>
      <c r="E68" s="21" t="inlineStr">
        <is>
          <t>Rute non Bandung–Jakarta, atau subtotal &lt; 100.000</t>
        </is>
      </c>
      <c r="F68" s="21" t="inlineStr">
        <is>
          <t>Validasi promo menolak dengan pesan yang sesuai</t>
        </is>
      </c>
      <c r="G68" s="24" t="n"/>
      <c r="H68" s="25" t="n"/>
      <c r="I68" s="25" t="n"/>
      <c r="J68" s="26" t="n"/>
      <c r="K68" s="27" t="n"/>
      <c r="L68" s="26" t="n"/>
    </row>
    <row r="69">
      <c r="A69" s="24" t="n">
        <v>68</v>
      </c>
      <c r="B69" s="21" t="inlineStr">
        <is>
          <t>Penumpang (role user) › Booking &amp; pembayaran</t>
        </is>
      </c>
      <c r="C69" s="24" t="inlineStr">
        <is>
          <t>USR-BK-14</t>
        </is>
      </c>
      <c r="D69" s="21" t="inlineStr">
        <is>
          <t>Voucher dompet diterapkan</t>
        </is>
      </c>
      <c r="E69" s="21" t="inlineStr">
        <is>
          <t>Klaim KOMPENSASI50, pakai di checkout (subtotal ≥ 50.000), simpan</t>
        </is>
      </c>
      <c r="F69" s="21" t="inlineStr">
        <is>
          <t>Total di halaman pembayaran berkurang Rp50.000 (BUG-07)</t>
        </is>
      </c>
      <c r="G69" s="28" t="inlineStr">
        <is>
          <t>BUG-07</t>
        </is>
      </c>
      <c r="H69" s="25" t="n"/>
      <c r="I69" s="25" t="n"/>
      <c r="J69" s="26" t="n"/>
      <c r="K69" s="27" t="n"/>
      <c r="L69" s="26" t="n"/>
    </row>
    <row r="70">
      <c r="A70" s="24" t="n">
        <v>69</v>
      </c>
      <c r="B70" s="21" t="inlineStr">
        <is>
          <t>Penumpang (role user) › Booking &amp; pembayaran</t>
        </is>
      </c>
      <c r="C70" s="24" t="inlineStr">
        <is>
          <t>USR-BK-15</t>
        </is>
      </c>
      <c r="D70" s="21" t="inlineStr">
        <is>
          <t>Voucher sekali pakai</t>
        </is>
      </c>
      <c r="E70" s="21" t="inlineStr">
        <is>
          <t>Bayar dengan voucher (USR-BK-14), lalu pakai kode yang sama di booking baru</t>
        </is>
      </c>
      <c r="F70" s="21" t="inlineStr">
        <is>
          <t>Ditolak "sudah pernah digunakan" (BUG-07)</t>
        </is>
      </c>
      <c r="G70" s="28" t="inlineStr">
        <is>
          <t>BUG-07</t>
        </is>
      </c>
      <c r="H70" s="25" t="n"/>
      <c r="I70" s="25" t="n"/>
      <c r="J70" s="26" t="n"/>
      <c r="K70" s="27" t="n"/>
      <c r="L70" s="26" t="n"/>
    </row>
    <row r="71">
      <c r="A71" s="24" t="n">
        <v>70</v>
      </c>
      <c r="B71" s="21" t="inlineStr">
        <is>
          <t>Penumpang (role user) › Booking &amp; pembayaran</t>
        </is>
      </c>
      <c r="C71" s="24" t="inlineStr">
        <is>
          <t>USR-BK-16</t>
        </is>
      </c>
      <c r="D71" s="21" t="inlineStr">
        <is>
          <t>Kode promo tidak dikenal</t>
        </is>
      </c>
      <c r="E71" s="21" t="inlineStr">
        <is>
          <t>ASAL123</t>
        </is>
      </c>
      <c r="F71" s="21" t="inlineStr">
        <is>
          <t>"Kode voucer … tidak ditemukan"</t>
        </is>
      </c>
      <c r="G71" s="24" t="n"/>
      <c r="H71" s="25" t="n"/>
      <c r="I71" s="25" t="n"/>
      <c r="J71" s="26" t="n"/>
      <c r="K71" s="27" t="n"/>
      <c r="L71" s="26" t="n"/>
    </row>
    <row r="72">
      <c r="A72" s="24" t="n">
        <v>71</v>
      </c>
      <c r="B72" s="21" t="inlineStr">
        <is>
          <t>Penumpang (role user) › Booking &amp; pembayaran</t>
        </is>
      </c>
      <c r="C72" s="24" t="inlineStr">
        <is>
          <t>USR-BK-17</t>
        </is>
      </c>
      <c r="D72" s="21" t="inlineStr">
        <is>
          <t>Ganti metode bayar</t>
        </is>
      </c>
      <c r="E72" s="21" t="inlineStr">
        <is>
          <t>Di halaman pembayaran, pindah BCA → QRIS → GoPay</t>
        </is>
      </c>
      <c r="F72" s="21" t="inlineStr">
        <is>
          <t>Instruksi bayar berganti sesuai kanal</t>
        </is>
      </c>
      <c r="G72" s="24" t="n"/>
      <c r="H72" s="25" t="n"/>
      <c r="I72" s="25" t="n"/>
      <c r="J72" s="26" t="n"/>
      <c r="K72" s="27" t="n"/>
      <c r="L72" s="26" t="n"/>
    </row>
    <row r="73">
      <c r="A73" s="24" t="n">
        <v>72</v>
      </c>
      <c r="B73" s="21" t="inlineStr">
        <is>
          <t>Penumpang (role user) › Booking &amp; pembayaran</t>
        </is>
      </c>
      <c r="C73" s="24" t="inlineStr">
        <is>
          <t>USR-BK-18</t>
        </is>
      </c>
      <c r="D73" s="21" t="inlineStr">
        <is>
          <t>Simpan ulang data booking lunas</t>
        </is>
      </c>
      <c r="E73" s="21" t="inlineStr">
        <is>
          <t>Setelah lunas, kirim ulang POST save-passenger/{id}</t>
        </is>
      </c>
      <c r="F73" s="21" t="inlineStr">
        <is>
          <t>Ditolak/redirect ke sukses; status pembayaran tetap lunas (BUG-19)</t>
        </is>
      </c>
      <c r="G73" s="28" t="inlineStr">
        <is>
          <t>BUG-19</t>
        </is>
      </c>
      <c r="H73" s="25" t="n"/>
      <c r="I73" s="25" t="n"/>
      <c r="J73" s="26" t="n"/>
      <c r="K73" s="27" t="n"/>
      <c r="L73" s="26" t="n"/>
    </row>
    <row r="74">
      <c r="A74" s="24" t="n">
        <v>73</v>
      </c>
      <c r="B74" s="21" t="inlineStr">
        <is>
          <t>Penumpang (role user) › Booking &amp; pembayaran</t>
        </is>
      </c>
      <c r="C74" s="24" t="inlineStr">
        <is>
          <t>USR-BK-19</t>
        </is>
      </c>
      <c r="D74" s="21" t="inlineStr">
        <is>
          <t>Simulasi bayar (non-production)</t>
        </is>
      </c>
      <c r="E74" s="21" t="inlineStr">
        <is>
          <t>Klik tombol simulasi bayar</t>
        </is>
      </c>
      <c r="F74" s="21" t="inlineStr">
        <is>
          <t>Booking confirmed, tiket terbit, email tiket terkirim 1x</t>
        </is>
      </c>
      <c r="G74" s="24" t="n"/>
      <c r="H74" s="25" t="n"/>
      <c r="I74" s="25" t="n"/>
      <c r="J74" s="26" t="n"/>
      <c r="K74" s="27" t="n"/>
      <c r="L74" s="26" t="n"/>
    </row>
    <row r="75">
      <c r="A75" s="24" t="n">
        <v>74</v>
      </c>
      <c r="B75" s="21" t="inlineStr">
        <is>
          <t>Penumpang (role user) › Booking &amp; pembayaran</t>
        </is>
      </c>
      <c r="C75" s="24" t="inlineStr">
        <is>
          <t>USR-BK-20</t>
        </is>
      </c>
      <c r="D75" s="21" t="inlineStr">
        <is>
          <t>Simulasi bayar di production</t>
        </is>
      </c>
      <c r="E75" s="21" t="inlineStr">
        <is>
          <t>APP_ENV=production, panggil simulate-payment</t>
        </is>
      </c>
      <c r="F75" s="21" t="inlineStr">
        <is>
          <t>404</t>
        </is>
      </c>
      <c r="G75" s="24" t="n"/>
      <c r="H75" s="25" t="n"/>
      <c r="I75" s="25" t="n"/>
      <c r="J75" s="26" t="n"/>
      <c r="K75" s="27" t="n"/>
      <c r="L75" s="26" t="n"/>
    </row>
    <row r="76">
      <c r="A76" s="24" t="n">
        <v>75</v>
      </c>
      <c r="B76" s="21" t="inlineStr">
        <is>
          <t>Penumpang (role user) › Booking &amp; pembayaran</t>
        </is>
      </c>
      <c r="C76" s="24" t="inlineStr">
        <is>
          <t>USR-BK-21</t>
        </is>
      </c>
      <c r="D76" s="21" t="inlineStr">
        <is>
          <t>Polling status</t>
        </is>
      </c>
      <c r="E76" s="21" t="inlineStr">
        <is>
          <t>Buka /user/booking/pembayaran/{id}/status</t>
        </is>
      </c>
      <c r="F76" s="21" t="inlineStr">
        <is>
          <t>JSON is_paid sesuai status</t>
        </is>
      </c>
      <c r="G76" s="24" t="n"/>
      <c r="H76" s="25" t="n"/>
      <c r="I76" s="25" t="n"/>
      <c r="J76" s="26" t="n"/>
      <c r="K76" s="27" t="n"/>
      <c r="L76" s="26" t="n"/>
    </row>
    <row r="77">
      <c r="A77" s="24" t="n">
        <v>76</v>
      </c>
      <c r="B77" s="21" t="inlineStr">
        <is>
          <t>Penumpang (role user) › Booking &amp; pembayaran</t>
        </is>
      </c>
      <c r="C77" s="24" t="inlineStr">
        <is>
          <t>USR-BK-22</t>
        </is>
      </c>
      <c r="D77" s="21" t="inlineStr">
        <is>
          <t>Halaman sukses booking belum lunas</t>
        </is>
      </c>
      <c r="E77" s="21" t="inlineStr">
        <is>
          <t>Buka /user/booking/sukses/{id} saat pending</t>
        </is>
      </c>
      <c r="F77" s="21" t="inlineStr">
        <is>
          <t>Redirect ke halaman pembayaran</t>
        </is>
      </c>
      <c r="G77" s="24" t="n"/>
      <c r="H77" s="25" t="n"/>
      <c r="I77" s="25" t="n"/>
      <c r="J77" s="26" t="n"/>
      <c r="K77" s="27" t="n"/>
      <c r="L77" s="26" t="n"/>
    </row>
    <row r="78">
      <c r="A78" s="24" t="n">
        <v>77</v>
      </c>
      <c r="B78" s="21" t="inlineStr">
        <is>
          <t>Penumpang (role user) › Tiket saya, check-in, refund, ulasan</t>
        </is>
      </c>
      <c r="C78" s="24" t="inlineStr">
        <is>
          <t>USR-TK-01</t>
        </is>
      </c>
      <c r="D78" s="21" t="inlineStr">
        <is>
          <t>Daftar tiket aktif</t>
        </is>
      </c>
      <c r="E78" s="21" t="inlineStr">
        <is>
          <t>Buka /tiket/dashboard</t>
        </is>
      </c>
      <c r="F78" s="21" t="inlineStr">
        <is>
          <t>Tiket lunas yang akan berangkat tampil dengan QR</t>
        </is>
      </c>
      <c r="G78" s="24" t="n"/>
      <c r="H78" s="25" t="n"/>
      <c r="I78" s="25" t="n"/>
      <c r="J78" s="26" t="n"/>
      <c r="K78" s="27" t="n"/>
      <c r="L78" s="26" t="n"/>
    </row>
    <row r="79">
      <c r="A79" s="24" t="n">
        <v>78</v>
      </c>
      <c r="B79" s="21" t="inlineStr">
        <is>
          <t>Penumpang (role user) › Tiket saya, check-in, refund, ulasan</t>
        </is>
      </c>
      <c r="C79" s="24" t="inlineStr">
        <is>
          <t>USR-TK-02</t>
        </is>
      </c>
      <c r="D79" s="21" t="inlineStr">
        <is>
          <t>Riwayat otomatis</t>
        </is>
      </c>
      <c r="E79" s="21" t="inlineStr">
        <is>
          <t>Tiket dengan keberangkatan &gt; 1 jam lalu</t>
        </is>
      </c>
      <c r="F79" s="21" t="inlineStr">
        <is>
          <t>Pindah ke tab Riwayat, status completed</t>
        </is>
      </c>
      <c r="G79" s="24" t="n"/>
      <c r="H79" s="25" t="n"/>
      <c r="I79" s="25" t="n"/>
      <c r="J79" s="26" t="n"/>
      <c r="K79" s="27" t="n"/>
      <c r="L79" s="26" t="n"/>
    </row>
    <row r="80">
      <c r="A80" s="24" t="n">
        <v>79</v>
      </c>
      <c r="B80" s="21" t="inlineStr">
        <is>
          <t>Penumpang (role user) › Tiket saya, check-in, refund, ulasan</t>
        </is>
      </c>
      <c r="C80" s="24" t="inlineStr">
        <is>
          <t>USR-TK-03</t>
        </is>
      </c>
      <c r="D80" s="21" t="inlineStr">
        <is>
          <t>Check-in mandiri</t>
        </is>
      </c>
      <c r="E80" s="21" t="inlineStr">
        <is>
          <t>Klik check-in pada tiket aktif</t>
        </is>
      </c>
      <c r="F80" s="21" t="inlineStr">
        <is>
          <t>Tiket Boarded, semua penumpang boarded</t>
        </is>
      </c>
      <c r="G80" s="24" t="n"/>
      <c r="H80" s="25" t="n"/>
      <c r="I80" s="25" t="n"/>
      <c r="J80" s="26" t="n"/>
      <c r="K80" s="27" t="n"/>
      <c r="L80" s="26" t="n"/>
    </row>
    <row r="81">
      <c r="A81" s="24" t="n">
        <v>80</v>
      </c>
      <c r="B81" s="21" t="inlineStr">
        <is>
          <t>Penumpang (role user) › Tiket saya, check-in, refund, ulasan</t>
        </is>
      </c>
      <c r="C81" s="24" t="inlineStr">
        <is>
          <t>USR-TK-04</t>
        </is>
      </c>
      <c r="D81" s="21" t="inlineStr">
        <is>
          <t>Check-in tiket yang dibatalkan</t>
        </is>
      </c>
      <c r="E81" s="21" t="inlineStr">
        <is>
          <t>Batalkan booking (refund), lalu kirim POST /user/tiket/{ticket}/check-in</t>
        </is>
      </c>
      <c r="F81" s="21" t="inlineStr">
        <is>
          <t>Ditolak (BUG-08)</t>
        </is>
      </c>
      <c r="G81" s="28" t="inlineStr">
        <is>
          <t>BUG-08</t>
        </is>
      </c>
      <c r="H81" s="25" t="n"/>
      <c r="I81" s="25" t="n"/>
      <c r="J81" s="26" t="n"/>
      <c r="K81" s="27" t="n"/>
      <c r="L81" s="26" t="n"/>
    </row>
    <row r="82">
      <c r="A82" s="24" t="n">
        <v>81</v>
      </c>
      <c r="B82" s="21" t="inlineStr">
        <is>
          <t>Penumpang (role user) › Tiket saya, check-in, refund, ulasan</t>
        </is>
      </c>
      <c r="C82" s="24" t="inlineStr">
        <is>
          <t>USR-TK-05</t>
        </is>
      </c>
      <c r="D82" s="21" t="inlineStr">
        <is>
          <t>Check-in booking belum bayar</t>
        </is>
      </c>
      <c r="E82" s="21" t="inlineStr">
        <is>
          <t>Kirim check-in dengan ID booking pending</t>
        </is>
      </c>
      <c r="F82" s="21" t="inlineStr">
        <is>
          <t>Ditolak, tidak ada tiket terbit (BUG-08)</t>
        </is>
      </c>
      <c r="G82" s="28" t="inlineStr">
        <is>
          <t>BUG-08</t>
        </is>
      </c>
      <c r="H82" s="25" t="n"/>
      <c r="I82" s="25" t="n"/>
      <c r="J82" s="26" t="n"/>
      <c r="K82" s="27" t="n"/>
      <c r="L82" s="26" t="n"/>
    </row>
    <row r="83">
      <c r="A83" s="24" t="n">
        <v>82</v>
      </c>
      <c r="B83" s="21" t="inlineStr">
        <is>
          <t>Penumpang (role user) › Tiket saya, check-in, refund, ulasan</t>
        </is>
      </c>
      <c r="C83" s="24" t="inlineStr">
        <is>
          <t>USR-TK-06</t>
        </is>
      </c>
      <c r="D83" s="21" t="inlineStr">
        <is>
          <t>Ajukan refund ≥ 1 jam sebelum berangkat</t>
        </is>
      </c>
      <c r="E83" s="21" t="inlineStr">
        <is>
          <t>Isi alasan, bank, no rekening, pemilik</t>
        </is>
      </c>
      <c r="F83" s="21" t="inlineStr">
        <is>
          <t>Refund 75% (potongan 25%), booking batal, kursi dilepas</t>
        </is>
      </c>
      <c r="G83" s="24" t="n"/>
      <c r="H83" s="25" t="n"/>
      <c r="I83" s="25" t="n"/>
      <c r="J83" s="26" t="n"/>
      <c r="K83" s="27" t="n"/>
      <c r="L83" s="26" t="n"/>
    </row>
    <row r="84">
      <c r="A84" s="24" t="n">
        <v>83</v>
      </c>
      <c r="B84" s="21" t="inlineStr">
        <is>
          <t>Penumpang (role user) › Tiket saya, check-in, refund, ulasan</t>
        </is>
      </c>
      <c r="C84" s="24" t="inlineStr">
        <is>
          <t>USR-TK-07</t>
        </is>
      </c>
      <c r="D84" s="21" t="inlineStr">
        <is>
          <t>Refund &lt; 1 jam sebelum berangkat</t>
        </is>
      </c>
      <c r="E84" s="21" t="inlineStr">
        <is>
          <t>Jadwal 30 menit lagi</t>
        </is>
      </c>
      <c r="F84" s="21" t="inlineStr">
        <is>
          <t>Ditolak: batas waktu pembatalan berakhir</t>
        </is>
      </c>
      <c r="G84" s="24" t="n"/>
      <c r="H84" s="25" t="n"/>
      <c r="I84" s="25" t="n"/>
      <c r="J84" s="26" t="n"/>
      <c r="K84" s="27" t="n"/>
      <c r="L84" s="26" t="n"/>
    </row>
    <row r="85">
      <c r="A85" s="24" t="n">
        <v>84</v>
      </c>
      <c r="B85" s="21" t="inlineStr">
        <is>
          <t>Penumpang (role user) › Tiket saya, check-in, refund, ulasan</t>
        </is>
      </c>
      <c r="C85" s="24" t="inlineStr">
        <is>
          <t>USR-TK-08</t>
        </is>
      </c>
      <c r="D85" s="21" t="inlineStr">
        <is>
          <t>Refund booking belum bayar / sudah batal</t>
        </is>
      </c>
      <c r="E85" s="21" t="inlineStr">
        <is>
          <t>Booking pending atau cancelled</t>
        </is>
      </c>
      <c r="F85" s="21" t="inlineStr">
        <is>
          <t>Ditolak</t>
        </is>
      </c>
      <c r="G85" s="24" t="n"/>
      <c r="H85" s="25" t="n"/>
      <c r="I85" s="25" t="n"/>
      <c r="J85" s="26" t="n"/>
      <c r="K85" s="27" t="n"/>
      <c r="L85" s="26" t="n"/>
    </row>
    <row r="86">
      <c r="A86" s="24" t="n">
        <v>85</v>
      </c>
      <c r="B86" s="21" t="inlineStr">
        <is>
          <t>Penumpang (role user) › Tiket saya, check-in, refund, ulasan</t>
        </is>
      </c>
      <c r="C86" s="24" t="inlineStr">
        <is>
          <t>USR-TK-09</t>
        </is>
      </c>
      <c r="D86" s="21" t="inlineStr">
        <is>
          <t>Refund field kosong</t>
        </is>
      </c>
      <c r="E86" s="21" t="inlineStr">
        <is>
          <t>Kosongkan bank/rekening</t>
        </is>
      </c>
      <c r="F86" s="21" t="inlineStr">
        <is>
          <t>Error validasi</t>
        </is>
      </c>
      <c r="G86" s="24" t="n"/>
      <c r="H86" s="25" t="n"/>
      <c r="I86" s="25" t="n"/>
      <c r="J86" s="26" t="n"/>
      <c r="K86" s="27" t="n"/>
      <c r="L86" s="26" t="n"/>
    </row>
    <row r="87">
      <c r="A87" s="24" t="n">
        <v>86</v>
      </c>
      <c r="B87" s="21" t="inlineStr">
        <is>
          <t>Penumpang (role user) › Tiket saya, check-in, refund, ulasan</t>
        </is>
      </c>
      <c r="C87" s="24" t="inlineStr">
        <is>
          <t>USR-TK-10</t>
        </is>
      </c>
      <c r="D87" s="21" t="inlineStr">
        <is>
          <t>Kirim ulasan</t>
        </is>
      </c>
      <c r="E87" s="21" t="inlineStr">
        <is>
          <t>Nilai 1–5 untuk 3 aspek + komentar</t>
        </is>
      </c>
      <c r="F87" s="21" t="inlineStr">
        <is>
          <t>Ulasan tersimpan, rata-rata dihitung</t>
        </is>
      </c>
      <c r="G87" s="24" t="n"/>
      <c r="H87" s="25" t="n"/>
      <c r="I87" s="25" t="n"/>
      <c r="J87" s="26" t="n"/>
      <c r="K87" s="27" t="n"/>
      <c r="L87" s="26" t="n"/>
    </row>
    <row r="88">
      <c r="A88" s="24" t="n">
        <v>87</v>
      </c>
      <c r="B88" s="21" t="inlineStr">
        <is>
          <t>Penumpang (role user) › Tiket saya, check-in, refund, ulasan</t>
        </is>
      </c>
      <c r="C88" s="24" t="inlineStr">
        <is>
          <t>USR-TK-11</t>
        </is>
      </c>
      <c r="D88" s="21" t="inlineStr">
        <is>
          <t>Ulasan nilai di luar batas</t>
        </is>
      </c>
      <c r="E88" s="21" t="inlineStr">
        <is>
          <t>Nilai 0 atau 6, komentar &gt; 1000 karakter</t>
        </is>
      </c>
      <c r="F88" s="21" t="inlineStr">
        <is>
          <t>Error validasi</t>
        </is>
      </c>
      <c r="G88" s="24" t="n"/>
      <c r="H88" s="25" t="n"/>
      <c r="I88" s="25" t="n"/>
      <c r="J88" s="26" t="n"/>
      <c r="K88" s="27" t="n"/>
      <c r="L88" s="26" t="n"/>
    </row>
    <row r="89">
      <c r="A89" s="24" t="n">
        <v>88</v>
      </c>
      <c r="B89" s="21" t="inlineStr">
        <is>
          <t>Penumpang (role user) › Tiket saya, check-in, refund, ulasan</t>
        </is>
      </c>
      <c r="C89" s="24" t="inlineStr">
        <is>
          <t>USR-TK-12</t>
        </is>
      </c>
      <c r="D89" s="21" t="inlineStr">
        <is>
          <t>Ulasan sebelum perjalanan</t>
        </is>
      </c>
      <c r="E89" s="21" t="inlineStr">
        <is>
          <t>Kirim ulasan untuk booking pending/akan datang</t>
        </is>
      </c>
      <c r="F89" s="21" t="inlineStr">
        <is>
          <t>Ditolak (BUG-23)</t>
        </is>
      </c>
      <c r="G89" s="28" t="inlineStr">
        <is>
          <t>BUG-23</t>
        </is>
      </c>
      <c r="H89" s="25" t="n"/>
      <c r="I89" s="25" t="n"/>
      <c r="J89" s="26" t="n"/>
      <c r="K89" s="27" t="n"/>
      <c r="L89" s="26" t="n"/>
    </row>
    <row r="90">
      <c r="A90" s="24" t="n">
        <v>89</v>
      </c>
      <c r="B90" s="21" t="inlineStr">
        <is>
          <t>Penumpang (role user) › Promo, notifikasi, akun</t>
        </is>
      </c>
      <c r="C90" s="24" t="inlineStr">
        <is>
          <t>USR-PR-01</t>
        </is>
      </c>
      <c r="D90" s="21" t="inlineStr">
        <is>
          <t>Lihat dompet voucher</t>
        </is>
      </c>
      <c r="E90" s="21" t="inlineStr">
        <is>
          <t>/promo/dashboard, filter all/active/used/expired</t>
        </is>
      </c>
      <c r="F90" s="21" t="inlineStr">
        <is>
          <t>Daftar dan jumlah per status benar</t>
        </is>
      </c>
      <c r="G90" s="24" t="n"/>
      <c r="H90" s="25" t="n"/>
      <c r="I90" s="25" t="n"/>
      <c r="J90" s="26" t="n"/>
      <c r="K90" s="27" t="n"/>
      <c r="L90" s="26" t="n"/>
    </row>
    <row r="91">
      <c r="A91" s="24" t="n">
        <v>90</v>
      </c>
      <c r="B91" s="21" t="inlineStr">
        <is>
          <t>Penumpang (role user) › Promo, notifikasi, akun</t>
        </is>
      </c>
      <c r="C91" s="24" t="inlineStr">
        <is>
          <t>USR-PR-02</t>
        </is>
      </c>
      <c r="D91" s="21" t="inlineStr">
        <is>
          <t>Klaim voucher valid</t>
        </is>
      </c>
      <c r="E91" s="21" t="inlineStr">
        <is>
          <t>Kode WELCOME2026</t>
        </is>
      </c>
      <c r="F91" s="21" t="inlineStr">
        <is>
          <t>Voucher masuk dompet, aktif 30 hari</t>
        </is>
      </c>
      <c r="G91" s="24" t="n"/>
      <c r="H91" s="25" t="n"/>
      <c r="I91" s="25" t="n"/>
      <c r="J91" s="26" t="n"/>
      <c r="K91" s="27" t="n"/>
      <c r="L91" s="26" t="n"/>
    </row>
    <row r="92">
      <c r="A92" s="24" t="n">
        <v>91</v>
      </c>
      <c r="B92" s="21" t="inlineStr">
        <is>
          <t>Penumpang (role user) › Promo, notifikasi, akun</t>
        </is>
      </c>
      <c r="C92" s="24" t="inlineStr">
        <is>
          <t>USR-PR-03</t>
        </is>
      </c>
      <c r="D92" s="21" t="inlineStr">
        <is>
          <t>Klaim voucher yang masih aktif</t>
        </is>
      </c>
      <c r="E92" s="21" t="inlineStr">
        <is>
          <t>Klaim WELCOME2026 lagi</t>
        </is>
      </c>
      <c r="F92" s="21" t="inlineStr">
        <is>
          <t>Ditolak: "sudah ada … masih aktif"</t>
        </is>
      </c>
      <c r="G92" s="24" t="n"/>
      <c r="H92" s="25" t="n"/>
      <c r="I92" s="25" t="n"/>
      <c r="J92" s="26" t="n"/>
      <c r="K92" s="27" t="n"/>
      <c r="L92" s="26" t="n"/>
    </row>
    <row r="93">
      <c r="A93" s="24" t="n">
        <v>92</v>
      </c>
      <c r="B93" s="21" t="inlineStr">
        <is>
          <t>Penumpang (role user) › Promo, notifikasi, akun</t>
        </is>
      </c>
      <c r="C93" s="24" t="inlineStr">
        <is>
          <t>USR-PR-04</t>
        </is>
      </c>
      <c r="D93" s="21" t="inlineStr">
        <is>
          <t>Kode tidak valid</t>
        </is>
      </c>
      <c r="E93" s="21" t="inlineStr">
        <is>
          <t>ABCDEF</t>
        </is>
      </c>
      <c r="F93" s="21" t="inlineStr">
        <is>
          <t>"tidak valid atau promo sudah berakhir"</t>
        </is>
      </c>
      <c r="G93" s="24" t="n"/>
      <c r="H93" s="25" t="n"/>
      <c r="I93" s="25" t="n"/>
      <c r="J93" s="26" t="n"/>
      <c r="K93" s="27" t="n"/>
      <c r="L93" s="26" t="n"/>
    </row>
    <row r="94">
      <c r="A94" s="24" t="n">
        <v>93</v>
      </c>
      <c r="B94" s="21" t="inlineStr">
        <is>
          <t>Penumpang (role user) › Promo, notifikasi, akun</t>
        </is>
      </c>
      <c r="C94" s="24" t="inlineStr">
        <is>
          <t>USR-PR-05</t>
        </is>
      </c>
      <c r="D94" s="21" t="inlineStr">
        <is>
          <t>Klaim ulang voucher kedaluwarsa/terpakai</t>
        </is>
      </c>
      <c r="E94" s="21" t="inlineStr">
        <is>
          <t>Ubah expires_at voucher ke kemarin, klaim lagi</t>
        </is>
      </c>
      <c r="F94" s="21" t="inlineStr">
        <is>
          <t>Seharusnya ditolak (BUG-07)</t>
        </is>
      </c>
      <c r="G94" s="28" t="inlineStr">
        <is>
          <t>BUG-07</t>
        </is>
      </c>
      <c r="H94" s="25" t="n"/>
      <c r="I94" s="25" t="n"/>
      <c r="J94" s="26" t="n"/>
      <c r="K94" s="27" t="n"/>
      <c r="L94" s="26" t="n"/>
    </row>
    <row r="95">
      <c r="A95" s="24" t="n">
        <v>94</v>
      </c>
      <c r="B95" s="21" t="inlineStr">
        <is>
          <t>Penumpang (role user) › Promo, notifikasi, akun</t>
        </is>
      </c>
      <c r="C95" s="24" t="inlineStr">
        <is>
          <t>USR-NT-01</t>
        </is>
      </c>
      <c r="D95" s="21" t="inlineStr">
        <is>
          <t>Daftar notifikasi</t>
        </is>
      </c>
      <c r="E95" s="21" t="inlineStr">
        <is>
          <t>/notifikasi/dashboard, filter transaksi/pengingat/operasional</t>
        </is>
      </c>
      <c r="F95" s="21" t="inlineStr">
        <is>
          <t>Daftar dan jumlah per kategori benar</t>
        </is>
      </c>
      <c r="G95" s="24" t="n"/>
      <c r="H95" s="25" t="n"/>
      <c r="I95" s="25" t="n"/>
      <c r="J95" s="26" t="n"/>
      <c r="K95" s="27" t="n"/>
      <c r="L95" s="26" t="n"/>
    </row>
    <row r="96">
      <c r="A96" s="24" t="n">
        <v>95</v>
      </c>
      <c r="B96" s="21" t="inlineStr">
        <is>
          <t>Penumpang (role user) › Promo, notifikasi, akun</t>
        </is>
      </c>
      <c r="C96" s="24" t="inlineStr">
        <is>
          <t>USR-NT-02</t>
        </is>
      </c>
      <c r="D96" s="21" t="inlineStr">
        <is>
          <t>Buka notifikasi</t>
        </is>
      </c>
      <c r="E96" s="21" t="inlineStr">
        <is>
          <t>Klik notifikasi</t>
        </is>
      </c>
      <c r="F96" s="21" t="inlineStr">
        <is>
          <t>Ditandai dibaca, diarahkan ke deep link</t>
        </is>
      </c>
      <c r="G96" s="24" t="n"/>
      <c r="H96" s="25" t="n"/>
      <c r="I96" s="25" t="n"/>
      <c r="J96" s="26" t="n"/>
      <c r="K96" s="27" t="n"/>
      <c r="L96" s="26" t="n"/>
    </row>
    <row r="97">
      <c r="A97" s="24" t="n">
        <v>96</v>
      </c>
      <c r="B97" s="21" t="inlineStr">
        <is>
          <t>Penumpang (role user) › Promo, notifikasi, akun</t>
        </is>
      </c>
      <c r="C97" s="24" t="inlineStr">
        <is>
          <t>USR-NT-03</t>
        </is>
      </c>
      <c r="D97" s="21" t="inlineStr">
        <is>
          <t>Tandai semua dibaca</t>
        </is>
      </c>
      <c r="E97" s="21" t="inlineStr">
        <is>
          <t>Klik "tandai semua"</t>
        </is>
      </c>
      <c r="F97" s="21" t="inlineStr">
        <is>
          <t>Jumlah belum dibaca jadi 0</t>
        </is>
      </c>
      <c r="G97" s="24" t="n"/>
      <c r="H97" s="25" t="n"/>
      <c r="I97" s="25" t="n"/>
      <c r="J97" s="26" t="n"/>
      <c r="K97" s="27" t="n"/>
      <c r="L97" s="26" t="n"/>
    </row>
    <row r="98">
      <c r="A98" s="24" t="n">
        <v>97</v>
      </c>
      <c r="B98" s="21" t="inlineStr">
        <is>
          <t>Penumpang (role user) › Promo, notifikasi, akun</t>
        </is>
      </c>
      <c r="C98" s="24" t="inlineStr">
        <is>
          <t>USR-NT-04</t>
        </is>
      </c>
      <c r="D98" s="21" t="inlineStr">
        <is>
          <t>Hapus notifikasi</t>
        </is>
      </c>
      <c r="E98" s="21" t="inlineStr">
        <is>
          <t>Hapus satu notifikasi</t>
        </is>
      </c>
      <c r="F98" s="21" t="inlineStr">
        <is>
          <t>Hilang dari daftar</t>
        </is>
      </c>
      <c r="G98" s="24" t="n"/>
      <c r="H98" s="25" t="n"/>
      <c r="I98" s="25" t="n"/>
      <c r="J98" s="26" t="n"/>
      <c r="K98" s="27" t="n"/>
      <c r="L98" s="26" t="n"/>
    </row>
    <row r="99">
      <c r="A99" s="24" t="n">
        <v>98</v>
      </c>
      <c r="B99" s="21" t="inlineStr">
        <is>
          <t>Penumpang (role user) › Promo, notifikasi, akun</t>
        </is>
      </c>
      <c r="C99" s="24" t="inlineStr">
        <is>
          <t>USR-NT-05</t>
        </is>
      </c>
      <c r="D99" s="21" t="inlineStr">
        <is>
          <t>Buka notifikasi milik user lain</t>
        </is>
      </c>
      <c r="E99" s="21" t="inlineStr">
        <is>
          <t>/user/notifikasi/{id milik user lain}/open</t>
        </is>
      </c>
      <c r="F99" s="21" t="inlineStr">
        <is>
          <t>404</t>
        </is>
      </c>
      <c r="G99" s="24" t="n"/>
      <c r="H99" s="25" t="n"/>
      <c r="I99" s="25" t="n"/>
      <c r="J99" s="26" t="n"/>
      <c r="K99" s="27" t="n"/>
      <c r="L99" s="26" t="n"/>
    </row>
    <row r="100">
      <c r="A100" s="24" t="n">
        <v>99</v>
      </c>
      <c r="B100" s="21" t="inlineStr">
        <is>
          <t>Penumpang (role user) › Promo, notifikasi, akun</t>
        </is>
      </c>
      <c r="C100" s="24" t="inlineStr">
        <is>
          <t>USR-NT-06</t>
        </is>
      </c>
      <c r="D100" s="21" t="inlineStr">
        <is>
          <t>Simulasi notifikasi</t>
        </is>
      </c>
      <c r="E100" s="21" t="inlineStr">
        <is>
          <t>Kirim tipe pending, confirmed, expired, reminder_2h, operational_vehicle, operational_delay</t>
        </is>
      </c>
      <c r="F100" s="21" t="inlineStr">
        <is>
          <t>Masing-masing muncul dengan isi sesuai</t>
        </is>
      </c>
      <c r="G100" s="24" t="n"/>
      <c r="H100" s="25" t="n"/>
      <c r="I100" s="25" t="n"/>
      <c r="J100" s="26" t="n"/>
      <c r="K100" s="27" t="n"/>
      <c r="L100" s="26" t="n"/>
    </row>
    <row r="101">
      <c r="A101" s="24" t="n">
        <v>100</v>
      </c>
      <c r="B101" s="21" t="inlineStr">
        <is>
          <t>Penumpang (role user) › Promo, notifikasi, akun</t>
        </is>
      </c>
      <c r="C101" s="24" t="inlineStr">
        <is>
          <t>USR-AK-01</t>
        </is>
      </c>
      <c r="D101" s="21" t="inlineStr">
        <is>
          <t>Ubah profil</t>
        </is>
      </c>
      <c r="E101" s="21" t="inlineStr">
        <is>
          <t>Nama, email baru, HP</t>
        </is>
      </c>
      <c r="F101" s="21" t="inlineStr">
        <is>
          <t>Tersimpan</t>
        </is>
      </c>
      <c r="G101" s="24" t="n"/>
      <c r="H101" s="25" t="n"/>
      <c r="I101" s="25" t="n"/>
      <c r="J101" s="26" t="n"/>
      <c r="K101" s="27" t="n"/>
      <c r="L101" s="26" t="n"/>
    </row>
    <row r="102">
      <c r="A102" s="24" t="n">
        <v>101</v>
      </c>
      <c r="B102" s="21" t="inlineStr">
        <is>
          <t>Penumpang (role user) › Promo, notifikasi, akun</t>
        </is>
      </c>
      <c r="C102" s="24" t="inlineStr">
        <is>
          <t>USR-AK-02</t>
        </is>
      </c>
      <c r="D102" s="21" t="inlineStr">
        <is>
          <t>Email sudah dipakai</t>
        </is>
      </c>
      <c r="E102" s="21" t="inlineStr">
        <is>
          <t>Email budi@travel.test</t>
        </is>
      </c>
      <c r="F102" s="21" t="inlineStr">
        <is>
          <t>Error unique</t>
        </is>
      </c>
      <c r="G102" s="24" t="n"/>
      <c r="H102" s="25" t="n"/>
      <c r="I102" s="25" t="n"/>
      <c r="J102" s="26" t="n"/>
      <c r="K102" s="27" t="n"/>
      <c r="L102" s="26" t="n"/>
    </row>
    <row r="103">
      <c r="A103" s="24" t="n">
        <v>102</v>
      </c>
      <c r="B103" s="21" t="inlineStr">
        <is>
          <t>Penumpang (role user) › Promo, notifikasi, akun</t>
        </is>
      </c>
      <c r="C103" s="24" t="inlineStr">
        <is>
          <t>USR-AK-03</t>
        </is>
      </c>
      <c r="D103" s="21" t="inlineStr">
        <is>
          <t>Ganti password</t>
        </is>
      </c>
      <c r="E103" s="21" t="inlineStr">
        <is>
          <t>Password lama benar, baru 8+ dan konfirmasi</t>
        </is>
      </c>
      <c r="F103" s="21" t="inlineStr">
        <is>
          <t>Berhasil, login dengan password baru</t>
        </is>
      </c>
      <c r="G103" s="24" t="n"/>
      <c r="H103" s="25" t="n"/>
      <c r="I103" s="25" t="n"/>
      <c r="J103" s="26" t="n"/>
      <c r="K103" s="27" t="n"/>
      <c r="L103" s="26" t="n"/>
    </row>
    <row r="104">
      <c r="A104" s="24" t="n">
        <v>103</v>
      </c>
      <c r="B104" s="21" t="inlineStr">
        <is>
          <t>Penumpang (role user) › Promo, notifikasi, akun</t>
        </is>
      </c>
      <c r="C104" s="24" t="inlineStr">
        <is>
          <t>USR-AK-04</t>
        </is>
      </c>
      <c r="D104" s="21" t="inlineStr">
        <is>
          <t>Password lama salah</t>
        </is>
      </c>
      <c r="E104" s="21" t="inlineStr">
        <is>
          <t>Password lama salah</t>
        </is>
      </c>
      <c r="F104" s="21" t="inlineStr">
        <is>
          <t>"Kata sandi saat ini … salah"</t>
        </is>
      </c>
      <c r="G104" s="24" t="n"/>
      <c r="H104" s="25" t="n"/>
      <c r="I104" s="25" t="n"/>
      <c r="J104" s="26" t="n"/>
      <c r="K104" s="27" t="n"/>
      <c r="L104" s="26" t="n"/>
    </row>
    <row r="105">
      <c r="A105" s="24" t="n">
        <v>104</v>
      </c>
      <c r="B105" s="21" t="inlineStr">
        <is>
          <t>Penumpang (role user) › Promo, notifikasi, akun</t>
        </is>
      </c>
      <c r="C105" s="24" t="inlineStr">
        <is>
          <t>USR-AK-05</t>
        </is>
      </c>
      <c r="D105" s="21" t="inlineStr">
        <is>
          <t>Tambah penumpang tersimpan</t>
        </is>
      </c>
      <c r="E105" s="21" t="inlineStr">
        <is>
          <t>Nama + NIK 16 digit</t>
        </is>
      </c>
      <c r="F105" s="21" t="inlineStr">
        <is>
          <t>Tersimpan</t>
        </is>
      </c>
      <c r="G105" s="24" t="n"/>
      <c r="H105" s="25" t="n"/>
      <c r="I105" s="25" t="n"/>
      <c r="J105" s="26" t="n"/>
      <c r="K105" s="27" t="n"/>
      <c r="L105" s="26" t="n"/>
    </row>
    <row r="106">
      <c r="A106" s="24" t="n">
        <v>105</v>
      </c>
      <c r="B106" s="21" t="inlineStr">
        <is>
          <t>Penumpang (role user) › Promo, notifikasi, akun</t>
        </is>
      </c>
      <c r="C106" s="24" t="inlineStr">
        <is>
          <t>USR-AK-06</t>
        </is>
      </c>
      <c r="D106" s="21" t="inlineStr">
        <is>
          <t>NIK tidak valid</t>
        </is>
      </c>
      <c r="E106" s="21" t="inlineStr">
        <is>
          <t>NIK 15 digit atau ada huruf</t>
        </is>
      </c>
      <c r="F106" s="21" t="inlineStr">
        <is>
          <t>Error NIK 16 digit</t>
        </is>
      </c>
      <c r="G106" s="24" t="n"/>
      <c r="H106" s="25" t="n"/>
      <c r="I106" s="25" t="n"/>
      <c r="J106" s="26" t="n"/>
      <c r="K106" s="27" t="n"/>
      <c r="L106" s="26" t="n"/>
    </row>
    <row r="107">
      <c r="A107" s="24" t="n">
        <v>106</v>
      </c>
      <c r="B107" s="21" t="inlineStr">
        <is>
          <t>Penumpang (role user) › Promo, notifikasi, akun</t>
        </is>
      </c>
      <c r="C107" s="24" t="inlineStr">
        <is>
          <t>USR-AK-07</t>
        </is>
      </c>
      <c r="D107" s="21" t="inlineStr">
        <is>
          <t>Penumpang utama</t>
        </is>
      </c>
      <c r="E107" s="21" t="inlineStr">
        <is>
          <t>Tandai penumpang B utama</t>
        </is>
      </c>
      <c r="F107" s="21" t="inlineStr">
        <is>
          <t>Hanya B yang is_primary</t>
        </is>
      </c>
      <c r="G107" s="24" t="n"/>
      <c r="H107" s="25" t="n"/>
      <c r="I107" s="25" t="n"/>
      <c r="J107" s="26" t="n"/>
      <c r="K107" s="27" t="n"/>
      <c r="L107" s="26" t="n"/>
    </row>
    <row r="108">
      <c r="A108" s="24" t="n">
        <v>107</v>
      </c>
      <c r="B108" s="21" t="inlineStr">
        <is>
          <t>Penumpang (role user) › Promo, notifikasi, akun</t>
        </is>
      </c>
      <c r="C108" s="24" t="inlineStr">
        <is>
          <t>USR-AK-08</t>
        </is>
      </c>
      <c r="D108" s="21" t="inlineStr">
        <is>
          <t>Edit / hapus penumpang tersimpan</t>
        </is>
      </c>
      <c r="E108" s="21" t="inlineStr">
        <is>
          <t>Edit nama lalu hapus</t>
        </is>
      </c>
      <c r="F108" s="21" t="inlineStr">
        <is>
          <t>Berhasil</t>
        </is>
      </c>
      <c r="G108" s="24" t="n"/>
      <c r="H108" s="25" t="n"/>
      <c r="I108" s="25" t="n"/>
      <c r="J108" s="26" t="n"/>
      <c r="K108" s="27" t="n"/>
      <c r="L108" s="26" t="n"/>
    </row>
    <row r="109">
      <c r="A109" s="24" t="n">
        <v>108</v>
      </c>
      <c r="B109" s="21" t="inlineStr">
        <is>
          <t>Penumpang (role user) › Promo, notifikasi, akun</t>
        </is>
      </c>
      <c r="C109" s="24" t="inlineStr">
        <is>
          <t>USR-AK-09</t>
        </is>
      </c>
      <c r="D109" s="21" t="inlineStr">
        <is>
          <t>Quick passenger di checkout</t>
        </is>
      </c>
      <c r="E109" s="21" t="inlineStr">
        <is>
          <t>Checkout setelah ada penumpang tersimpan</t>
        </is>
      </c>
      <c r="F109" s="21" t="inlineStr">
        <is>
          <t>Penumpang tersimpan muncul sebagai pilihan</t>
        </is>
      </c>
      <c r="G109" s="24" t="n"/>
      <c r="H109" s="25" t="n"/>
      <c r="I109" s="25" t="n"/>
      <c r="J109" s="26" t="n"/>
      <c r="K109" s="27" t="n"/>
      <c r="L109" s="26" t="n"/>
    </row>
    <row r="110">
      <c r="A110" s="24" t="n">
        <v>109</v>
      </c>
      <c r="B110" s="21" t="inlineStr">
        <is>
          <t>Admin Utama (role admin_utama) › Dashboard</t>
        </is>
      </c>
      <c r="C110" s="24" t="inlineStr">
        <is>
          <t>ADM-01</t>
        </is>
      </c>
      <c r="D110" s="21" t="inlineStr">
        <is>
          <t>Dashboard admin</t>
        </is>
      </c>
      <c r="E110" s="21" t="inlineStr">
        <is>
          <t>Buka /dashboard/admin</t>
        </is>
      </c>
      <c r="F110" s="21" t="inlineStr">
        <is>
          <t>Statistik tampil tanpa error</t>
        </is>
      </c>
      <c r="G110" s="24" t="n"/>
      <c r="H110" s="25" t="n"/>
      <c r="I110" s="25" t="n"/>
      <c r="J110" s="26" t="n"/>
      <c r="K110" s="27" t="n"/>
      <c r="L110" s="26" t="n"/>
    </row>
    <row r="111">
      <c r="A111" s="24" t="n">
        <v>110</v>
      </c>
      <c r="B111" s="21" t="inlineStr">
        <is>
          <t>Admin Utama (role admin_utama) › Kelola User (pelanggan)</t>
        </is>
      </c>
      <c r="C111" s="24" t="inlineStr">
        <is>
          <t>ADM-USR-01</t>
        </is>
      </c>
      <c r="D111" s="21" t="inlineStr">
        <is>
          <t>Daftar &amp; cari user</t>
        </is>
      </c>
      <c r="E111" s="21" t="inlineStr">
        <is>
          <t>/kelola-user, cari nama/email</t>
        </is>
      </c>
      <c r="F111" s="21" t="inlineStr">
        <is>
          <t>Hanya role user, pencarian jalan</t>
        </is>
      </c>
      <c r="G111" s="24" t="n"/>
      <c r="H111" s="25" t="n"/>
      <c r="I111" s="25" t="n"/>
      <c r="J111" s="26" t="n"/>
      <c r="K111" s="27" t="n"/>
      <c r="L111" s="26" t="n"/>
    </row>
    <row r="112">
      <c r="A112" s="24" t="n">
        <v>111</v>
      </c>
      <c r="B112" s="21" t="inlineStr">
        <is>
          <t>Admin Utama (role admin_utama) › Kelola User (pelanggan)</t>
        </is>
      </c>
      <c r="C112" s="24" t="inlineStr">
        <is>
          <t>ADM-USR-02</t>
        </is>
      </c>
      <c r="D112" s="21" t="inlineStr">
        <is>
          <t>Tambah user</t>
        </is>
      </c>
      <c r="E112" s="21" t="inlineStr">
        <is>
          <t>Nama, email baru, password 8+ + konfirmasi</t>
        </is>
      </c>
      <c r="F112" s="21" t="inlineStr">
        <is>
          <t>User role user aktif dibuat</t>
        </is>
      </c>
      <c r="G112" s="24" t="n"/>
      <c r="H112" s="25" t="n"/>
      <c r="I112" s="25" t="n"/>
      <c r="J112" s="26" t="n"/>
      <c r="K112" s="27" t="n"/>
      <c r="L112" s="26" t="n"/>
    </row>
    <row r="113">
      <c r="A113" s="24" t="n">
        <v>112</v>
      </c>
      <c r="B113" s="21" t="inlineStr">
        <is>
          <t>Admin Utama (role admin_utama) › Kelola User (pelanggan)</t>
        </is>
      </c>
      <c r="C113" s="24" t="inlineStr">
        <is>
          <t>ADM-USR-03</t>
        </is>
      </c>
      <c r="D113" s="21" t="inlineStr">
        <is>
          <t>Tambah user email duplikat / password tidak cocok</t>
        </is>
      </c>
      <c r="E113" s="21" t="inlineStr"/>
      <c r="F113" s="21" t="inlineStr">
        <is>
          <t>Error validasi berbahasa Indonesia</t>
        </is>
      </c>
      <c r="G113" s="24" t="n"/>
      <c r="H113" s="25" t="n"/>
      <c r="I113" s="25" t="n"/>
      <c r="J113" s="26" t="n"/>
      <c r="K113" s="27" t="n"/>
      <c r="L113" s="26" t="n"/>
    </row>
    <row r="114">
      <c r="A114" s="24" t="n">
        <v>113</v>
      </c>
      <c r="B114" s="21" t="inlineStr">
        <is>
          <t>Admin Utama (role admin_utama) › Kelola User (pelanggan)</t>
        </is>
      </c>
      <c r="C114" s="24" t="inlineStr">
        <is>
          <t>ADM-USR-04</t>
        </is>
      </c>
      <c r="D114" s="21" t="inlineStr">
        <is>
          <t>Detail user</t>
        </is>
      </c>
      <c r="E114" s="21" t="inlineStr">
        <is>
          <t>Klik user</t>
        </is>
      </c>
      <c r="F114" s="21" t="inlineStr">
        <is>
          <t>Profil &amp; riwayat perjalanan tampil</t>
        </is>
      </c>
      <c r="G114" s="24" t="n"/>
      <c r="H114" s="25" t="n"/>
      <c r="I114" s="25" t="n"/>
      <c r="J114" s="26" t="n"/>
      <c r="K114" s="27" t="n"/>
      <c r="L114" s="26" t="n"/>
    </row>
    <row r="115">
      <c r="A115" s="24" t="n">
        <v>114</v>
      </c>
      <c r="B115" s="21" t="inlineStr">
        <is>
          <t>Admin Utama (role admin_utama) › Kelola User (pelanggan)</t>
        </is>
      </c>
      <c r="C115" s="24" t="inlineStr">
        <is>
          <t>ADM-USR-05</t>
        </is>
      </c>
      <c r="D115" s="21" t="inlineStr">
        <is>
          <t>Detail/edit akun petugas lewat URL user</t>
        </is>
      </c>
      <c r="E115" s="21" t="inlineStr">
        <is>
          <t>/kelola-user/{id staff}</t>
        </is>
      </c>
      <c r="F115" s="21" t="inlineStr">
        <is>
          <t>404</t>
        </is>
      </c>
      <c r="G115" s="24" t="n"/>
      <c r="H115" s="25" t="n"/>
      <c r="I115" s="25" t="n"/>
      <c r="J115" s="26" t="n"/>
      <c r="K115" s="27" t="n"/>
      <c r="L115" s="26" t="n"/>
    </row>
    <row r="116">
      <c r="A116" s="24" t="n">
        <v>115</v>
      </c>
      <c r="B116" s="21" t="inlineStr">
        <is>
          <t>Admin Utama (role admin_utama) › Kelola User (pelanggan)</t>
        </is>
      </c>
      <c r="C116" s="24" t="inlineStr">
        <is>
          <t>ADM-USR-06</t>
        </is>
      </c>
      <c r="D116" s="21" t="inlineStr">
        <is>
          <t>Edit user</t>
        </is>
      </c>
      <c r="E116" s="21" t="inlineStr">
        <is>
          <t>Ubah nama/HP</t>
        </is>
      </c>
      <c r="F116" s="21" t="inlineStr">
        <is>
          <t>Tersimpan</t>
        </is>
      </c>
      <c r="G116" s="24" t="n"/>
      <c r="H116" s="25" t="n"/>
      <c r="I116" s="25" t="n"/>
      <c r="J116" s="26" t="n"/>
      <c r="K116" s="27" t="n"/>
      <c r="L116" s="26" t="n"/>
    </row>
    <row r="117">
      <c r="A117" s="24" t="n">
        <v>116</v>
      </c>
      <c r="B117" s="21" t="inlineStr">
        <is>
          <t>Admin Utama (role admin_utama) › Kelola User (pelanggan)</t>
        </is>
      </c>
      <c r="C117" s="24" t="inlineStr">
        <is>
          <t>ADM-USR-07</t>
        </is>
      </c>
      <c r="D117" s="21" t="inlineStr">
        <is>
          <t>Blokir user</t>
        </is>
      </c>
      <c r="E117" s="21" t="inlineStr">
        <is>
          <t>Toggle status lalu user mencoba login</t>
        </is>
      </c>
      <c r="F117" s="21" t="inlineStr">
        <is>
          <t>Status inactive dan login ditolak (BUG-02)</t>
        </is>
      </c>
      <c r="G117" s="28" t="inlineStr">
        <is>
          <t>BUG-02</t>
        </is>
      </c>
      <c r="H117" s="25" t="n"/>
      <c r="I117" s="25" t="n"/>
      <c r="J117" s="26" t="n"/>
      <c r="K117" s="27" t="n"/>
      <c r="L117" s="26" t="n"/>
    </row>
    <row r="118">
      <c r="A118" s="24" t="n">
        <v>117</v>
      </c>
      <c r="B118" s="21" t="inlineStr">
        <is>
          <t>Admin Utama (role admin_utama) › Kelola User (pelanggan)</t>
        </is>
      </c>
      <c r="C118" s="24" t="inlineStr">
        <is>
          <t>ADM-USR-08</t>
        </is>
      </c>
      <c r="D118" s="21" t="inlineStr">
        <is>
          <t>Reset password user</t>
        </is>
      </c>
      <c r="E118" s="21" t="inlineStr">
        <is>
          <t>Password baru + konfirmasi</t>
        </is>
      </c>
      <c r="F118" s="21" t="inlineStr">
        <is>
          <t>User bisa login dengan password baru</t>
        </is>
      </c>
      <c r="G118" s="24" t="n"/>
      <c r="H118" s="25" t="n"/>
      <c r="I118" s="25" t="n"/>
      <c r="J118" s="26" t="n"/>
      <c r="K118" s="27" t="n"/>
      <c r="L118" s="26" t="n"/>
    </row>
    <row r="119">
      <c r="A119" s="24" t="n">
        <v>118</v>
      </c>
      <c r="B119" s="21" t="inlineStr">
        <is>
          <t>Admin Utama (role admin_utama) › Kelola User (pelanggan)</t>
        </is>
      </c>
      <c r="C119" s="24" t="inlineStr">
        <is>
          <t>ADM-USR-09</t>
        </is>
      </c>
      <c r="D119" s="21" t="inlineStr">
        <is>
          <t>Hapus user yang punya transaksi</t>
        </is>
      </c>
      <c r="E119" s="21" t="inlineStr">
        <is>
          <t>Hapus user dengan booking lunas, lalu buka laporan</t>
        </is>
      </c>
      <c r="F119" s="21" t="inlineStr">
        <is>
          <t>Seharusnya dicegah atau data transaksi tetap ada (BUG-21)</t>
        </is>
      </c>
      <c r="G119" s="28" t="inlineStr">
        <is>
          <t>BUG-21</t>
        </is>
      </c>
      <c r="H119" s="25" t="n"/>
      <c r="I119" s="25" t="n"/>
      <c r="J119" s="26" t="n"/>
      <c r="K119" s="27" t="n"/>
      <c r="L119" s="26" t="n"/>
    </row>
    <row r="120">
      <c r="A120" s="24" t="n">
        <v>119</v>
      </c>
      <c r="B120" s="21" t="inlineStr">
        <is>
          <t>Admin Utama (role admin_utama) › Kelola Staff</t>
        </is>
      </c>
      <c r="C120" s="24" t="inlineStr">
        <is>
          <t>ADM-STF-01</t>
        </is>
      </c>
      <c r="D120" s="21" t="inlineStr">
        <is>
          <t>Tambah staff</t>
        </is>
      </c>
      <c r="E120" s="21" t="inlineStr">
        <is>
          <t>Nama, email, HP, cabang, password + konfirmasi, hak akses</t>
        </is>
      </c>
      <c r="F120" s="21" t="inlineStr">
        <is>
          <t>Staff aktif dibuat</t>
        </is>
      </c>
      <c r="G120" s="24" t="n"/>
      <c r="H120" s="25" t="n"/>
      <c r="I120" s="25" t="n"/>
      <c r="J120" s="26" t="n"/>
      <c r="K120" s="27" t="n"/>
      <c r="L120" s="26" t="n"/>
    </row>
    <row r="121">
      <c r="A121" s="24" t="n">
        <v>120</v>
      </c>
      <c r="B121" s="21" t="inlineStr">
        <is>
          <t>Admin Utama (role admin_utama) › Kelola Staff</t>
        </is>
      </c>
      <c r="C121" s="24" t="inlineStr">
        <is>
          <t>ADM-STF-02</t>
        </is>
      </c>
      <c r="D121" s="21" t="inlineStr">
        <is>
          <t>Staff baru login (dengan kode akses)</t>
        </is>
      </c>
      <c r="E121" s="21" t="inlineStr">
        <is>
          <t>Buat staff dengan kode akses STF-NEW-01, login di /login</t>
        </is>
      </c>
      <c r="F121" s="21" t="inlineStr">
        <is>
          <t>Login berhasil. Saat ini: error 500 (BUG-03)</t>
        </is>
      </c>
      <c r="G121" s="28" t="inlineStr">
        <is>
          <t>BUG-03</t>
        </is>
      </c>
      <c r="H121" s="25" t="n"/>
      <c r="I121" s="25" t="n"/>
      <c r="J121" s="26" t="n"/>
      <c r="K121" s="27" t="n"/>
      <c r="L121" s="26" t="n"/>
    </row>
    <row r="122">
      <c r="A122" s="24" t="n">
        <v>121</v>
      </c>
      <c r="B122" s="21" t="inlineStr">
        <is>
          <t>Admin Utama (role admin_utama) › Kelola Staff</t>
        </is>
      </c>
      <c r="C122" s="24" t="inlineStr">
        <is>
          <t>ADM-STF-03</t>
        </is>
      </c>
      <c r="D122" s="21" t="inlineStr">
        <is>
          <t>Staff baru tanpa kode akses</t>
        </is>
      </c>
      <c r="E122" s="21" t="inlineStr">
        <is>
          <t>Buat staff tanpa kode akses, login</t>
        </is>
      </c>
      <c r="F122" s="21" t="inlineStr">
        <is>
          <t>Ada cara login / kode digenerate. Saat ini tidak bisa login (BUG-03)</t>
        </is>
      </c>
      <c r="G122" s="28" t="inlineStr">
        <is>
          <t>BUG-03</t>
        </is>
      </c>
      <c r="H122" s="25" t="n"/>
      <c r="I122" s="25" t="n"/>
      <c r="J122" s="26" t="n"/>
      <c r="K122" s="27" t="n"/>
      <c r="L122" s="26" t="n"/>
    </row>
    <row r="123">
      <c r="A123" s="24" t="n">
        <v>122</v>
      </c>
      <c r="B123" s="21" t="inlineStr">
        <is>
          <t>Admin Utama (role admin_utama) › Kelola Staff</t>
        </is>
      </c>
      <c r="C123" s="24" t="inlineStr">
        <is>
          <t>ADM-STF-04</t>
        </is>
      </c>
      <c r="D123" s="21" t="inlineStr">
        <is>
          <t>Validasi tambah staff</t>
        </is>
      </c>
      <c r="E123" s="21" t="inlineStr">
        <is>
          <t>Kosongkan cabang/HP, email duplikat</t>
        </is>
      </c>
      <c r="F123" s="21" t="inlineStr">
        <is>
          <t>Error validasi</t>
        </is>
      </c>
      <c r="G123" s="24" t="n"/>
      <c r="H123" s="25" t="n"/>
      <c r="I123" s="25" t="n"/>
      <c r="J123" s="26" t="n"/>
      <c r="K123" s="27" t="n"/>
      <c r="L123" s="26" t="n"/>
    </row>
    <row r="124">
      <c r="A124" s="24" t="n">
        <v>123</v>
      </c>
      <c r="B124" s="21" t="inlineStr">
        <is>
          <t>Admin Utama (role admin_utama) › Kelola Staff</t>
        </is>
      </c>
      <c r="C124" s="24" t="inlineStr">
        <is>
          <t>ADM-STF-05</t>
        </is>
      </c>
      <c r="D124" s="21" t="inlineStr">
        <is>
          <t>Edit staff &amp; hak akses</t>
        </is>
      </c>
      <c r="E124" s="21" t="inlineStr">
        <is>
          <t>Ubah cabang, hapus hak checkin_ticket</t>
        </is>
      </c>
      <c r="F124" s="21" t="inlineStr">
        <is>
          <t>Tersimpan</t>
        </is>
      </c>
      <c r="G124" s="24" t="n"/>
      <c r="H124" s="25" t="n"/>
      <c r="I124" s="25" t="n"/>
      <c r="J124" s="26" t="n"/>
      <c r="K124" s="27" t="n"/>
      <c r="L124" s="26" t="n"/>
    </row>
    <row r="125">
      <c r="A125" s="24" t="n">
        <v>124</v>
      </c>
      <c r="B125" s="21" t="inlineStr">
        <is>
          <t>Admin Utama (role admin_utama) › Kelola Staff</t>
        </is>
      </c>
      <c r="C125" s="24" t="inlineStr">
        <is>
          <t>ADM-STF-06</t>
        </is>
      </c>
      <c r="D125" s="21" t="inlineStr">
        <is>
          <t>Nonaktifkan staff</t>
        </is>
      </c>
      <c r="E125" s="21" t="inlineStr">
        <is>
          <t>Toggle status lalu staff login</t>
        </is>
      </c>
      <c r="F125" s="21" t="inlineStr">
        <is>
          <t>Login ditolak (BUG-02)</t>
        </is>
      </c>
      <c r="G125" s="28" t="inlineStr">
        <is>
          <t>BUG-02</t>
        </is>
      </c>
      <c r="H125" s="25" t="n"/>
      <c r="I125" s="25" t="n"/>
      <c r="J125" s="26" t="n"/>
      <c r="K125" s="27" t="n"/>
      <c r="L125" s="26" t="n"/>
    </row>
    <row r="126">
      <c r="A126" s="24" t="n">
        <v>125</v>
      </c>
      <c r="B126" s="21" t="inlineStr">
        <is>
          <t>Admin Utama (role admin_utama) › Kelola Staff</t>
        </is>
      </c>
      <c r="C126" s="24" t="inlineStr">
        <is>
          <t>ADM-STF-07</t>
        </is>
      </c>
      <c r="D126" s="21" t="inlineStr">
        <is>
          <t>Reset password staff</t>
        </is>
      </c>
      <c r="E126" s="21" t="inlineStr"/>
      <c r="F126" s="21" t="inlineStr">
        <is>
          <t>Staff login dengan password baru</t>
        </is>
      </c>
      <c r="G126" s="24" t="n"/>
      <c r="H126" s="25" t="n"/>
      <c r="I126" s="25" t="n"/>
      <c r="J126" s="26" t="n"/>
      <c r="K126" s="27" t="n"/>
      <c r="L126" s="26" t="n"/>
    </row>
    <row r="127">
      <c r="A127" s="24" t="n">
        <v>126</v>
      </c>
      <c r="B127" s="21" t="inlineStr">
        <is>
          <t>Admin Utama (role admin_utama) › Kelola Staff</t>
        </is>
      </c>
      <c r="C127" s="24" t="inlineStr">
        <is>
          <t>ADM-STF-08</t>
        </is>
      </c>
      <c r="D127" s="21" t="inlineStr">
        <is>
          <t>Hapus staff</t>
        </is>
      </c>
      <c r="E127" s="21" t="inlineStr">
        <is>
          <t>Hapus staff lain</t>
        </is>
      </c>
      <c r="F127" s="21" t="inlineStr">
        <is>
          <t>Terhapus</t>
        </is>
      </c>
      <c r="G127" s="24" t="n"/>
      <c r="H127" s="25" t="n"/>
      <c r="I127" s="25" t="n"/>
      <c r="J127" s="26" t="n"/>
      <c r="K127" s="27" t="n"/>
      <c r="L127" s="26" t="n"/>
    </row>
    <row r="128">
      <c r="A128" s="24" t="n">
        <v>127</v>
      </c>
      <c r="B128" s="21" t="inlineStr">
        <is>
          <t>Admin Utama (role admin_utama) › Kelola Staff</t>
        </is>
      </c>
      <c r="C128" s="24" t="inlineStr">
        <is>
          <t>ADM-STF-09</t>
        </is>
      </c>
      <c r="D128" s="21" t="inlineStr">
        <is>
          <t>URL staff untuk akun non-staff</t>
        </is>
      </c>
      <c r="E128" s="21" t="inlineStr">
        <is>
          <t>/kelola-staff/{id user}</t>
        </is>
      </c>
      <c r="F128" s="21" t="inlineStr">
        <is>
          <t>404</t>
        </is>
      </c>
      <c r="G128" s="24" t="n"/>
      <c r="H128" s="25" t="n"/>
      <c r="I128" s="25" t="n"/>
      <c r="J128" s="26" t="n"/>
      <c r="K128" s="27" t="n"/>
      <c r="L128" s="26" t="n"/>
    </row>
    <row r="129">
      <c r="A129" s="24" t="n">
        <v>128</v>
      </c>
      <c r="B129" s="21" t="inlineStr">
        <is>
          <t>Admin Utama (role admin_utama) › Kelola Driver</t>
        </is>
      </c>
      <c r="C129" s="24" t="inlineStr">
        <is>
          <t>ADM-DRV-01</t>
        </is>
      </c>
      <c r="D129" s="21" t="inlineStr">
        <is>
          <t>Tambah driver</t>
        </is>
      </c>
      <c r="E129" s="21" t="inlineStr">
        <is>
          <t>Data lengkap + SIM unik + foto ≤ 2MB</t>
        </is>
      </c>
      <c r="F129" s="21" t="inlineStr">
        <is>
          <t>Driver &amp; akun user role driver dibuat</t>
        </is>
      </c>
      <c r="G129" s="24" t="n"/>
      <c r="H129" s="25" t="n"/>
      <c r="I129" s="25" t="n"/>
      <c r="J129" s="26" t="n"/>
      <c r="K129" s="27" t="n"/>
      <c r="L129" s="26" t="n"/>
    </row>
    <row r="130">
      <c r="A130" s="24" t="n">
        <v>129</v>
      </c>
      <c r="B130" s="21" t="inlineStr">
        <is>
          <t>Admin Utama (role admin_utama) › Kelola Driver</t>
        </is>
      </c>
      <c r="C130" s="24" t="inlineStr">
        <is>
          <t>ADM-DRV-02</t>
        </is>
      </c>
      <c r="D130" s="21" t="inlineStr">
        <is>
          <t>Driver baru login</t>
        </is>
      </c>
      <c r="E130" s="21" t="inlineStr">
        <is>
          <t>Login driver baru di /login</t>
        </is>
      </c>
      <c r="F130" s="21" t="inlineStr">
        <is>
          <t>Bisa login. Saat ini tidak punya kode akses (BUG-04)</t>
        </is>
      </c>
      <c r="G130" s="28" t="inlineStr">
        <is>
          <t>BUG-04</t>
        </is>
      </c>
      <c r="H130" s="25" t="n"/>
      <c r="I130" s="25" t="n"/>
      <c r="J130" s="26" t="n"/>
      <c r="K130" s="27" t="n"/>
      <c r="L130" s="26" t="n"/>
    </row>
    <row r="131">
      <c r="A131" s="24" t="n">
        <v>130</v>
      </c>
      <c r="B131" s="21" t="inlineStr">
        <is>
          <t>Admin Utama (role admin_utama) › Kelola Driver</t>
        </is>
      </c>
      <c r="C131" s="24" t="inlineStr">
        <is>
          <t>ADM-DRV-03</t>
        </is>
      </c>
      <c r="D131" s="21" t="inlineStr">
        <is>
          <t>SIM duplikat / foto &gt; 2MB / bukan gambar</t>
        </is>
      </c>
      <c r="E131" s="21" t="inlineStr"/>
      <c r="F131" s="21" t="inlineStr">
        <is>
          <t>Error validasi</t>
        </is>
      </c>
      <c r="G131" s="24" t="n"/>
      <c r="H131" s="25" t="n"/>
      <c r="I131" s="25" t="n"/>
      <c r="J131" s="26" t="n"/>
      <c r="K131" s="27" t="n"/>
      <c r="L131" s="26" t="n"/>
    </row>
    <row r="132">
      <c r="A132" s="24" t="n">
        <v>131</v>
      </c>
      <c r="B132" s="21" t="inlineStr">
        <is>
          <t>Admin Utama (role admin_utama) › Kelola Driver</t>
        </is>
      </c>
      <c r="C132" s="24" t="inlineStr">
        <is>
          <t>ADM-DRV-04</t>
        </is>
      </c>
      <c r="D132" s="21" t="inlineStr">
        <is>
          <t>Edit driver</t>
        </is>
      </c>
      <c r="E132" s="21" t="inlineStr">
        <is>
          <t>Ubah SIM, status</t>
        </is>
      </c>
      <c r="F132" s="21" t="inlineStr">
        <is>
          <t>Tersimpan</t>
        </is>
      </c>
      <c r="G132" s="24" t="n"/>
      <c r="H132" s="25" t="n"/>
      <c r="I132" s="25" t="n"/>
      <c r="J132" s="26" t="n"/>
      <c r="K132" s="27" t="n"/>
      <c r="L132" s="26" t="n"/>
    </row>
    <row r="133">
      <c r="A133" s="24" t="n">
        <v>132</v>
      </c>
      <c r="B133" s="21" t="inlineStr">
        <is>
          <t>Admin Utama (role admin_utama) › Kelola Driver</t>
        </is>
      </c>
      <c r="C133" s="24" t="inlineStr">
        <is>
          <t>ADM-DRV-05</t>
        </is>
      </c>
      <c r="D133" s="21" t="inlineStr">
        <is>
          <t>Ubah status cepat</t>
        </is>
      </c>
      <c r="E133" s="21" t="inlineStr">
        <is>
          <t>standby → on_duty → on_leave</t>
        </is>
      </c>
      <c r="F133" s="21" t="inlineStr">
        <is>
          <t>Tersimpan</t>
        </is>
      </c>
      <c r="G133" s="24" t="n"/>
      <c r="H133" s="25" t="n"/>
      <c r="I133" s="25" t="n"/>
      <c r="J133" s="26" t="n"/>
      <c r="K133" s="27" t="n"/>
      <c r="L133" s="26" t="n"/>
    </row>
    <row r="134">
      <c r="A134" s="24" t="n">
        <v>133</v>
      </c>
      <c r="B134" s="21" t="inlineStr">
        <is>
          <t>Admin Utama (role admin_utama) › Kelola Driver</t>
        </is>
      </c>
      <c r="C134" s="24" t="inlineStr">
        <is>
          <t>ADM-DRV-06</t>
        </is>
      </c>
      <c r="D134" s="21" t="inlineStr">
        <is>
          <t>Hapus driver yang punya jadwal mendatang</t>
        </is>
      </c>
      <c r="E134" s="21" t="inlineStr"/>
      <c r="F134" s="21" t="inlineStr">
        <is>
          <t>Seharusnya dicegah. Saat ini jadwal kehilangan sopir tanpa peringatan</t>
        </is>
      </c>
      <c r="G134" s="24" t="n"/>
      <c r="H134" s="25" t="n"/>
      <c r="I134" s="25" t="n"/>
      <c r="J134" s="26" t="n"/>
      <c r="K134" s="27" t="n"/>
      <c r="L134" s="26" t="n"/>
    </row>
    <row r="135">
      <c r="A135" s="24" t="n">
        <v>134</v>
      </c>
      <c r="B135" s="21" t="inlineStr">
        <is>
          <t>Admin Utama (role admin_utama) › Memantau Kendaraan</t>
        </is>
      </c>
      <c r="C135" s="24" t="inlineStr">
        <is>
          <t>ADM-VH-01</t>
        </is>
      </c>
      <c r="D135" s="21" t="inlineStr">
        <is>
          <t>Daftar &amp; peringatan KIR/STNK</t>
        </is>
      </c>
      <c r="E135" s="21" t="inlineStr">
        <is>
          <t>Kendaraan dengan KIR/STNK hampir habis</t>
        </is>
      </c>
      <c r="F135" s="21" t="inlineStr">
        <is>
          <t>Peringatan legalitas tampil</t>
        </is>
      </c>
      <c r="G135" s="24" t="n"/>
      <c r="H135" s="25" t="n"/>
      <c r="I135" s="25" t="n"/>
      <c r="J135" s="26" t="n"/>
      <c r="K135" s="27" t="n"/>
      <c r="L135" s="26" t="n"/>
    </row>
    <row r="136">
      <c r="A136" s="24" t="n">
        <v>135</v>
      </c>
      <c r="B136" s="21" t="inlineStr">
        <is>
          <t>Admin Utama (role admin_utama) › Memantau Kendaraan</t>
        </is>
      </c>
      <c r="C136" s="24" t="inlineStr">
        <is>
          <t>ADM-VH-02</t>
        </is>
      </c>
      <c r="D136" s="21" t="inlineStr">
        <is>
          <t>Tambah kendaraan</t>
        </is>
      </c>
      <c r="E136" s="21" t="inlineStr">
        <is>
          <t>Plat unik, kapasitas 4–60, tahun 1990–tahun depan</t>
        </is>
      </c>
      <c r="F136" s="21" t="inlineStr">
        <is>
          <t>Dibuat, kursi otomatis dibuat</t>
        </is>
      </c>
      <c r="G136" s="24" t="n"/>
      <c r="H136" s="25" t="n"/>
      <c r="I136" s="25" t="n"/>
      <c r="J136" s="26" t="n"/>
      <c r="K136" s="27" t="n"/>
      <c r="L136" s="26" t="n"/>
    </row>
    <row r="137">
      <c r="A137" s="24" t="n">
        <v>136</v>
      </c>
      <c r="B137" s="21" t="inlineStr">
        <is>
          <t>Admin Utama (role admin_utama) › Memantau Kendaraan</t>
        </is>
      </c>
      <c r="C137" s="24" t="inlineStr">
        <is>
          <t>ADM-VH-03</t>
        </is>
      </c>
      <c r="D137" s="21" t="inlineStr">
        <is>
          <t>Validasi kendaraan</t>
        </is>
      </c>
      <c r="E137" s="21" t="inlineStr">
        <is>
          <t>Plat duplikat, kapasitas 3 atau 61, tahun 1989</t>
        </is>
      </c>
      <c r="F137" s="21" t="inlineStr">
        <is>
          <t>Error validasi</t>
        </is>
      </c>
      <c r="G137" s="24" t="n"/>
      <c r="H137" s="25" t="n"/>
      <c r="I137" s="25" t="n"/>
      <c r="J137" s="26" t="n"/>
      <c r="K137" s="27" t="n"/>
      <c r="L137" s="26" t="n"/>
    </row>
    <row r="138">
      <c r="A138" s="24" t="n">
        <v>137</v>
      </c>
      <c r="B138" s="21" t="inlineStr">
        <is>
          <t>Admin Utama (role admin_utama) › Memantau Kendaraan</t>
        </is>
      </c>
      <c r="C138" s="24" t="inlineStr">
        <is>
          <t>ADM-VH-04</t>
        </is>
      </c>
      <c r="D138" s="21" t="inlineStr">
        <is>
          <t>Edit kendaraan</t>
        </is>
      </c>
      <c r="E138" s="21" t="inlineStr">
        <is>
          <t>Ubah fasilitas &amp; foto</t>
        </is>
      </c>
      <c r="F138" s="21" t="inlineStr">
        <is>
          <t>Tersimpan</t>
        </is>
      </c>
      <c r="G138" s="24" t="n"/>
      <c r="H138" s="25" t="n"/>
      <c r="I138" s="25" t="n"/>
      <c r="J138" s="26" t="n"/>
      <c r="K138" s="27" t="n"/>
      <c r="L138" s="26" t="n"/>
    </row>
    <row r="139">
      <c r="A139" s="24" t="n">
        <v>138</v>
      </c>
      <c r="B139" s="21" t="inlineStr">
        <is>
          <t>Admin Utama (role admin_utama) › Memantau Kendaraan</t>
        </is>
      </c>
      <c r="C139" s="24" t="inlineStr">
        <is>
          <t>ADM-VH-05</t>
        </is>
      </c>
      <c r="D139" s="21" t="inlineStr">
        <is>
          <t>Ubah status</t>
        </is>
      </c>
      <c r="E139" s="21" t="inlineStr">
        <is>
          <t>siap_jalan → maintenance</t>
        </is>
      </c>
      <c r="F139" s="21" t="inlineStr">
        <is>
          <t>Jadwal armada ini hilang dari pencarian (GST-08)</t>
        </is>
      </c>
      <c r="G139" s="24" t="n"/>
      <c r="H139" s="25" t="n"/>
      <c r="I139" s="25" t="n"/>
      <c r="J139" s="26" t="n"/>
      <c r="K139" s="27" t="n"/>
      <c r="L139" s="26" t="n"/>
    </row>
    <row r="140">
      <c r="A140" s="24" t="n">
        <v>139</v>
      </c>
      <c r="B140" s="21" t="inlineStr">
        <is>
          <t>Admin Utama (role admin_utama) › Memantau Kendaraan</t>
        </is>
      </c>
      <c r="C140" s="24" t="inlineStr">
        <is>
          <t>ADM-VH-06</t>
        </is>
      </c>
      <c r="D140" s="21" t="inlineStr">
        <is>
          <t>Hapus kendaraan dengan jadwal mendatang</t>
        </is>
      </c>
      <c r="E140" s="21" t="inlineStr"/>
      <c r="F140" s="21" t="inlineStr">
        <is>
          <t>Ditolak dengan pesan</t>
        </is>
      </c>
      <c r="G140" s="24" t="n"/>
      <c r="H140" s="25" t="n"/>
      <c r="I140" s="25" t="n"/>
      <c r="J140" s="26" t="n"/>
      <c r="K140" s="27" t="n"/>
      <c r="L140" s="26" t="n"/>
    </row>
    <row r="141">
      <c r="A141" s="24" t="n">
        <v>140</v>
      </c>
      <c r="B141" s="21" t="inlineStr">
        <is>
          <t>Admin Utama (role admin_utama) › Memantau Kendaraan</t>
        </is>
      </c>
      <c r="C141" s="24" t="inlineStr">
        <is>
          <t>ADM-VH-07</t>
        </is>
      </c>
      <c r="D141" s="21" t="inlineStr">
        <is>
          <t>Hapus kendaraan yang hanya punya jadwal lampau/selesai</t>
        </is>
      </c>
      <c r="E141" s="21" t="inlineStr"/>
      <c r="F141" s="21" t="inlineStr">
        <is>
          <t>Ditolak dengan pesan rapi. Saat ini error 500 (BUG-12)</t>
        </is>
      </c>
      <c r="G141" s="28" t="inlineStr">
        <is>
          <t>BUG-12</t>
        </is>
      </c>
      <c r="H141" s="25" t="n"/>
      <c r="I141" s="25" t="n"/>
      <c r="J141" s="26" t="n"/>
      <c r="K141" s="27" t="n"/>
      <c r="L141" s="26" t="n"/>
    </row>
    <row r="142">
      <c r="A142" s="24" t="n">
        <v>141</v>
      </c>
      <c r="B142" s="21" t="inlineStr">
        <is>
          <t>Admin Utama (role admin_utama) › Memantau Kendaraan</t>
        </is>
      </c>
      <c r="C142" s="24" t="inlineStr">
        <is>
          <t>ADM-VH-08</t>
        </is>
      </c>
      <c r="D142" s="21" t="inlineStr">
        <is>
          <t>Hapus kendaraan tanpa jadwal</t>
        </is>
      </c>
      <c r="E142" s="21" t="inlineStr"/>
      <c r="F142" s="21" t="inlineStr">
        <is>
          <t>Terhapus beserta kursinya</t>
        </is>
      </c>
      <c r="G142" s="24" t="n"/>
      <c r="H142" s="25" t="n"/>
      <c r="I142" s="25" t="n"/>
      <c r="J142" s="26" t="n"/>
      <c r="K142" s="27" t="n"/>
      <c r="L142" s="26" t="n"/>
    </row>
    <row r="143">
      <c r="A143" s="24" t="n">
        <v>142</v>
      </c>
      <c r="B143" s="21" t="inlineStr">
        <is>
          <t>Admin Utama (role admin_utama) › Pemesanan (booking)</t>
        </is>
      </c>
      <c r="C143" s="24" t="inlineStr">
        <is>
          <t>ADM-BK-01</t>
        </is>
      </c>
      <c r="D143" s="21" t="inlineStr">
        <is>
          <t>Daftar &amp; filter booking</t>
        </is>
      </c>
      <c r="E143" s="21" t="inlineStr">
        <is>
          <t>/pemesanan, filter status/tanggal</t>
        </is>
      </c>
      <c r="F143" s="21" t="inlineStr">
        <is>
          <t>Data &amp; statistik benar</t>
        </is>
      </c>
      <c r="G143" s="24" t="n"/>
      <c r="H143" s="25" t="n"/>
      <c r="I143" s="25" t="n"/>
      <c r="J143" s="26" t="n"/>
      <c r="K143" s="27" t="n"/>
      <c r="L143" s="26" t="n"/>
    </row>
    <row r="144">
      <c r="A144" s="24" t="n">
        <v>143</v>
      </c>
      <c r="B144" s="21" t="inlineStr">
        <is>
          <t>Admin Utama (role admin_utama) › Pemesanan (booking)</t>
        </is>
      </c>
      <c r="C144" s="24" t="inlineStr">
        <is>
          <t>ADM-BK-02</t>
        </is>
      </c>
      <c r="D144" s="21" t="inlineStr">
        <is>
          <t>Booking manual lunas</t>
        </is>
      </c>
      <c r="E144" s="21" t="inlineStr">
        <is>
          <t>Pilih jadwal &amp; kursi, nama, HP, sumber walk_in, Cash, paid</t>
        </is>
      </c>
      <c r="F144" s="21" t="inlineStr">
        <is>
          <t>Booking Paid, pembayaran &amp; tiket terbit</t>
        </is>
      </c>
      <c r="G144" s="24" t="n"/>
      <c r="H144" s="25" t="n"/>
      <c r="I144" s="25" t="n"/>
      <c r="J144" s="26" t="n"/>
      <c r="K144" s="27" t="n"/>
      <c r="L144" s="26" t="n"/>
    </row>
    <row r="145">
      <c r="A145" s="24" t="n">
        <v>144</v>
      </c>
      <c r="B145" s="21" t="inlineStr">
        <is>
          <t>Admin Utama (role admin_utama) › Pemesanan (booking)</t>
        </is>
      </c>
      <c r="C145" s="24" t="inlineStr">
        <is>
          <t>ADM-BK-03</t>
        </is>
      </c>
      <c r="D145" s="21" t="inlineStr">
        <is>
          <t>Booking manual pending</t>
        </is>
      </c>
      <c r="E145" s="21" t="inlineStr">
        <is>
          <t>payment_status pending</t>
        </is>
      </c>
      <c r="F145" s="21" t="inlineStr">
        <is>
          <t>Booking Pending, tidak ada tiket</t>
        </is>
      </c>
      <c r="G145" s="24" t="n"/>
      <c r="H145" s="25" t="n"/>
      <c r="I145" s="25" t="n"/>
      <c r="J145" s="26" t="n"/>
      <c r="K145" s="27" t="n"/>
      <c r="L145" s="26" t="n"/>
    </row>
    <row r="146">
      <c r="A146" s="24" t="n">
        <v>145</v>
      </c>
      <c r="B146" s="21" t="inlineStr">
        <is>
          <t>Admin Utama (role admin_utama) › Pemesanan (booking)</t>
        </is>
      </c>
      <c r="C146" s="24" t="inlineStr">
        <is>
          <t>ADM-BK-04</t>
        </is>
      </c>
      <c r="D146" s="21" t="inlineStr">
        <is>
          <t>Booking manual kursi terisi</t>
        </is>
      </c>
      <c r="E146" s="21" t="inlineStr">
        <is>
          <t>Pilih kursi yang sudah dipesan</t>
        </is>
      </c>
      <c r="F146" s="21" t="inlineStr">
        <is>
          <t>Ditolak dengan pesan</t>
        </is>
      </c>
      <c r="G146" s="24" t="n"/>
      <c r="H146" s="25" t="n"/>
      <c r="I146" s="25" t="n"/>
      <c r="J146" s="26" t="n"/>
      <c r="K146" s="27" t="n"/>
      <c r="L146" s="26" t="n"/>
    </row>
    <row r="147">
      <c r="A147" s="24" t="n">
        <v>146</v>
      </c>
      <c r="B147" s="21" t="inlineStr">
        <is>
          <t>Admin Utama (role admin_utama) › Pemesanan (booking)</t>
        </is>
      </c>
      <c r="C147" s="24" t="inlineStr">
        <is>
          <t>ADM-BK-05</t>
        </is>
      </c>
      <c r="D147" s="21" t="inlineStr">
        <is>
          <t>Harga booking manual</t>
        </is>
      </c>
      <c r="E147" s="21" t="inlineStr">
        <is>
          <t>Jadwal dengan harga khusus/akhir pekan</t>
        </is>
      </c>
      <c r="F147" s="21" t="inlineStr">
        <is>
          <t>Total = harga jadwal, sama dengan online (BUG-16)</t>
        </is>
      </c>
      <c r="G147" s="28" t="inlineStr">
        <is>
          <t>BUG-16</t>
        </is>
      </c>
      <c r="H147" s="25" t="n"/>
      <c r="I147" s="25" t="n"/>
      <c r="J147" s="26" t="n"/>
      <c r="K147" s="27" t="n"/>
      <c r="L147" s="26" t="n"/>
    </row>
    <row r="148">
      <c r="A148" s="24" t="n">
        <v>147</v>
      </c>
      <c r="B148" s="21" t="inlineStr">
        <is>
          <t>Admin Utama (role admin_utama) › Pemesanan (booking)</t>
        </is>
      </c>
      <c r="C148" s="24" t="inlineStr">
        <is>
          <t>ADM-BK-06</t>
        </is>
      </c>
      <c r="D148" s="21" t="inlineStr">
        <is>
          <t>HP pelanggan = HP staf</t>
        </is>
      </c>
      <c r="E148" s="21" t="inlineStr">
        <is>
          <t>Isi HP milik akun staf</t>
        </is>
      </c>
      <c r="F148" s="21" t="inlineStr">
        <is>
          <t>Booking tidak menempel ke akun staf (BUG-16)</t>
        </is>
      </c>
      <c r="G148" s="28" t="inlineStr">
        <is>
          <t>BUG-16</t>
        </is>
      </c>
      <c r="H148" s="25" t="n"/>
      <c r="I148" s="25" t="n"/>
      <c r="J148" s="26" t="n"/>
      <c r="K148" s="27" t="n"/>
      <c r="L148" s="26" t="n"/>
    </row>
    <row r="149">
      <c r="A149" s="24" t="n">
        <v>148</v>
      </c>
      <c r="B149" s="21" t="inlineStr">
        <is>
          <t>Admin Utama (role admin_utama) › Pemesanan (booking)</t>
        </is>
      </c>
      <c r="C149" s="24" t="inlineStr">
        <is>
          <t>ADM-BK-07</t>
        </is>
      </c>
      <c r="D149" s="21" t="inlineStr">
        <is>
          <t>Seat map &amp; manifes</t>
        </is>
      </c>
      <c r="E149" s="21" t="inlineStr">
        <is>
          <t>/pemesanan/jadwal/{id}/seat-map dan /manifes</t>
        </is>
      </c>
      <c r="F149" s="21" t="inlineStr">
        <is>
          <t>Tampil sesuai booking</t>
        </is>
      </c>
      <c r="G149" s="24" t="n"/>
      <c r="H149" s="25" t="n"/>
      <c r="I149" s="25" t="n"/>
      <c r="J149" s="26" t="n"/>
      <c r="K149" s="27" t="n"/>
      <c r="L149" s="26" t="n"/>
    </row>
    <row r="150">
      <c r="A150" s="24" t="n">
        <v>149</v>
      </c>
      <c r="B150" s="21" t="inlineStr">
        <is>
          <t>Admin Utama (role admin_utama) › Pemesanan (booking)</t>
        </is>
      </c>
      <c r="C150" s="24" t="inlineStr">
        <is>
          <t>ADM-BK-08</t>
        </is>
      </c>
      <c r="D150" s="21" t="inlineStr">
        <is>
          <t>Detail booking</t>
        </is>
      </c>
      <c r="E150" s="21" t="inlineStr">
        <is>
          <t>/pemesanan/{id}</t>
        </is>
      </c>
      <c r="F150" s="21" t="inlineStr">
        <is>
          <t>Detail &amp; e-tiket tampil</t>
        </is>
      </c>
      <c r="G150" s="24" t="n"/>
      <c r="H150" s="25" t="n"/>
      <c r="I150" s="25" t="n"/>
      <c r="J150" s="26" t="n"/>
      <c r="K150" s="27" t="n"/>
      <c r="L150" s="26" t="n"/>
    </row>
    <row r="151">
      <c r="A151" s="24" t="n">
        <v>150</v>
      </c>
      <c r="B151" s="21" t="inlineStr">
        <is>
          <t>Admin Utama (role admin_utama) › Pemesanan (booking)</t>
        </is>
      </c>
      <c r="C151" s="24" t="inlineStr">
        <is>
          <t>ADM-BK-09</t>
        </is>
      </c>
      <c r="D151" s="21" t="inlineStr">
        <is>
          <t>Reschedule valid</t>
        </is>
      </c>
      <c r="E151" s="21" t="inlineStr">
        <is>
          <t>Pilih jadwal baru, kursi sejumlah penumpang, alasan</t>
        </is>
      </c>
      <c r="F151" s="21" t="inlineStr">
        <is>
          <t>Jadwal &amp; kursi pindah, sisa kursi kedua jadwal dihitung ulang</t>
        </is>
      </c>
      <c r="G151" s="24" t="n"/>
      <c r="H151" s="25" t="n"/>
      <c r="I151" s="25" t="n"/>
      <c r="J151" s="26" t="n"/>
      <c r="K151" s="27" t="n"/>
      <c r="L151" s="26" t="n"/>
    </row>
    <row r="152">
      <c r="A152" s="24" t="n">
        <v>151</v>
      </c>
      <c r="B152" s="21" t="inlineStr">
        <is>
          <t>Admin Utama (role admin_utama) › Pemesanan (booking)</t>
        </is>
      </c>
      <c r="C152" s="24" t="inlineStr">
        <is>
          <t>ADM-BK-10</t>
        </is>
      </c>
      <c r="D152" s="21" t="inlineStr">
        <is>
          <t>Reschedule jumlah kursi salah / kursi terisi</t>
        </is>
      </c>
      <c r="E152" s="21" t="inlineStr"/>
      <c r="F152" s="21" t="inlineStr">
        <is>
          <t>Ditolak dengan pesan</t>
        </is>
      </c>
      <c r="G152" s="24" t="n"/>
      <c r="H152" s="25" t="n"/>
      <c r="I152" s="25" t="n"/>
      <c r="J152" s="26" t="n"/>
      <c r="K152" s="27" t="n"/>
      <c r="L152" s="26" t="n"/>
    </row>
    <row r="153">
      <c r="A153" s="24" t="n">
        <v>152</v>
      </c>
      <c r="B153" s="21" t="inlineStr">
        <is>
          <t>Admin Utama (role admin_utama) › Pemesanan (booking)</t>
        </is>
      </c>
      <c r="C153" s="24" t="inlineStr">
        <is>
          <t>ADM-BK-11</t>
        </is>
      </c>
      <c r="D153" s="21" t="inlineStr">
        <is>
          <t>Reschedule ke jadwal lampau/batal atau kursi armada lain</t>
        </is>
      </c>
      <c r="E153" s="21" t="inlineStr"/>
      <c r="F153" s="21" t="inlineStr">
        <is>
          <t>Ditolak (BUG-15)</t>
        </is>
      </c>
      <c r="G153" s="28" t="inlineStr">
        <is>
          <t>BUG-15</t>
        </is>
      </c>
      <c r="H153" s="25" t="n"/>
      <c r="I153" s="25" t="n"/>
      <c r="J153" s="26" t="n"/>
      <c r="K153" s="27" t="n"/>
      <c r="L153" s="26" t="n"/>
    </row>
    <row r="154">
      <c r="A154" s="24" t="n">
        <v>153</v>
      </c>
      <c r="B154" s="21" t="inlineStr">
        <is>
          <t>Admin Utama (role admin_utama) › Pemesanan (booking)</t>
        </is>
      </c>
      <c r="C154" s="24" t="inlineStr">
        <is>
          <t>ADM-BK-12</t>
        </is>
      </c>
      <c r="D154" s="21" t="inlineStr">
        <is>
          <t>Reschedule booking batal</t>
        </is>
      </c>
      <c r="E154" s="21" t="inlineStr">
        <is>
          <t>Buka form reschedule booking cancelled</t>
        </is>
      </c>
      <c r="F154" s="21" t="inlineStr">
        <is>
          <t>Ditolak dengan pesan</t>
        </is>
      </c>
      <c r="G154" s="24" t="n"/>
      <c r="H154" s="25" t="n"/>
      <c r="I154" s="25" t="n"/>
      <c r="J154" s="26" t="n"/>
      <c r="K154" s="27" t="n"/>
      <c r="L154" s="26" t="n"/>
    </row>
    <row r="155">
      <c r="A155" s="24" t="n">
        <v>154</v>
      </c>
      <c r="B155" s="21" t="inlineStr">
        <is>
          <t>Admin Utama (role admin_utama) › Pemesanan (booking)</t>
        </is>
      </c>
      <c r="C155" s="24" t="inlineStr">
        <is>
          <t>ADM-BK-13</t>
        </is>
      </c>
      <c r="D155" s="21" t="inlineStr">
        <is>
          <t>Batalkan booking</t>
        </is>
      </c>
      <c r="E155" s="21" t="inlineStr">
        <is>
          <t>Klik batal</t>
        </is>
      </c>
      <c r="F155" s="21" t="inlineStr">
        <is>
          <t>Booking &amp; tiket Cancelled, kursi lepas</t>
        </is>
      </c>
      <c r="G155" s="24" t="n"/>
      <c r="H155" s="25" t="n"/>
      <c r="I155" s="25" t="n"/>
      <c r="J155" s="26" t="n"/>
      <c r="K155" s="27" t="n"/>
      <c r="L155" s="26" t="n"/>
    </row>
    <row r="156">
      <c r="A156" s="24" t="n">
        <v>155</v>
      </c>
      <c r="B156" s="21" t="inlineStr">
        <is>
          <t>Admin Utama (role admin_utama) › Pemesanan (booking)</t>
        </is>
      </c>
      <c r="C156" s="24" t="inlineStr">
        <is>
          <t>ADM-BK-14</t>
        </is>
      </c>
      <c r="D156" s="21" t="inlineStr">
        <is>
          <t>Batalkan ulang</t>
        </is>
      </c>
      <c r="E156" s="21" t="inlineStr">
        <is>
          <t>Batalkan booking yang sudah batal</t>
        </is>
      </c>
      <c r="F156" s="21" t="inlineStr">
        <is>
          <t>"sudah dalam status dibatalkan"</t>
        </is>
      </c>
      <c r="G156" s="24" t="n"/>
      <c r="H156" s="25" t="n"/>
      <c r="I156" s="25" t="n"/>
      <c r="J156" s="26" t="n"/>
      <c r="K156" s="27" t="n"/>
      <c r="L156" s="26" t="n"/>
    </row>
    <row r="157">
      <c r="A157" s="24" t="n">
        <v>156</v>
      </c>
      <c r="B157" s="21" t="inlineStr">
        <is>
          <t>Admin Utama (role admin_utama) › Pembayaran</t>
        </is>
      </c>
      <c r="C157" s="24" t="inlineStr">
        <is>
          <t>ADM-PAY-01</t>
        </is>
      </c>
      <c r="D157" s="21" t="inlineStr">
        <is>
          <t>Daftar &amp; filter pembayaran</t>
        </is>
      </c>
      <c r="E157" s="21" t="inlineStr">
        <is>
          <t>/pembayaran</t>
        </is>
      </c>
      <c r="F157" s="21" t="inlineStr">
        <is>
          <t>Data &amp; metrik omzet tampil</t>
        </is>
      </c>
      <c r="G157" s="24" t="n"/>
      <c r="H157" s="25" t="n"/>
      <c r="I157" s="25" t="n"/>
      <c r="J157" s="26" t="n"/>
      <c r="K157" s="27" t="n"/>
      <c r="L157" s="26" t="n"/>
    </row>
    <row r="158">
      <c r="A158" s="24" t="n">
        <v>157</v>
      </c>
      <c r="B158" s="21" t="inlineStr">
        <is>
          <t>Admin Utama (role admin_utama) › Pembayaran</t>
        </is>
      </c>
      <c r="C158" s="24" t="inlineStr">
        <is>
          <t>ADM-PAY-02</t>
        </is>
      </c>
      <c r="D158" s="21" t="inlineStr">
        <is>
          <t>Detail pembayaran</t>
        </is>
      </c>
      <c r="E158" s="21" t="inlineStr">
        <is>
          <t>/pembayaran/{id}</t>
        </is>
      </c>
      <c r="F158" s="21" t="inlineStr">
        <is>
          <t>Tampil</t>
        </is>
      </c>
      <c r="G158" s="24" t="n"/>
      <c r="H158" s="25" t="n"/>
      <c r="I158" s="25" t="n"/>
      <c r="J158" s="26" t="n"/>
      <c r="K158" s="27" t="n"/>
      <c r="L158" s="26" t="n"/>
    </row>
    <row r="159">
      <c r="A159" s="24" t="n">
        <v>158</v>
      </c>
      <c r="B159" s="21" t="inlineStr">
        <is>
          <t>Admin Utama (role admin_utama) › Pembayaran</t>
        </is>
      </c>
      <c r="C159" s="24" t="inlineStr">
        <is>
          <t>ADM-PAY-03</t>
        </is>
      </c>
      <c r="D159" s="21" t="inlineStr">
        <is>
          <t>Approve pembayaran pending</t>
        </is>
      </c>
      <c r="E159" s="21" t="inlineStr">
        <is>
          <t>action approve</t>
        </is>
      </c>
      <c r="F159" s="21" t="inlineStr">
        <is>
          <t>Payment Success, booking Paid, tiket terbit</t>
        </is>
      </c>
      <c r="G159" s="24" t="n"/>
      <c r="H159" s="25" t="n"/>
      <c r="I159" s="25" t="n"/>
      <c r="J159" s="26" t="n"/>
      <c r="K159" s="27" t="n"/>
      <c r="L159" s="26" t="n"/>
    </row>
    <row r="160">
      <c r="A160" s="24" t="n">
        <v>159</v>
      </c>
      <c r="B160" s="21" t="inlineStr">
        <is>
          <t>Admin Utama (role admin_utama) › Pembayaran</t>
        </is>
      </c>
      <c r="C160" s="24" t="inlineStr">
        <is>
          <t>ADM-PAY-04</t>
        </is>
      </c>
      <c r="D160" s="21" t="inlineStr">
        <is>
          <t>Reject tanpa alasan</t>
        </is>
      </c>
      <c r="E160" s="21" t="inlineStr">
        <is>
          <t>action reject, alasan kosong</t>
        </is>
      </c>
      <c r="F160" s="21" t="inlineStr">
        <is>
          <t>Error rejection_reason wajib</t>
        </is>
      </c>
      <c r="G160" s="24" t="n"/>
      <c r="H160" s="25" t="n"/>
      <c r="I160" s="25" t="n"/>
      <c r="J160" s="26" t="n"/>
      <c r="K160" s="27" t="n"/>
      <c r="L160" s="26" t="n"/>
    </row>
    <row r="161">
      <c r="A161" s="24" t="n">
        <v>160</v>
      </c>
      <c r="B161" s="21" t="inlineStr">
        <is>
          <t>Admin Utama (role admin_utama) › Pembayaran</t>
        </is>
      </c>
      <c r="C161" s="24" t="inlineStr">
        <is>
          <t>ADM-PAY-05</t>
        </is>
      </c>
      <c r="D161" s="21" t="inlineStr">
        <is>
          <t>Approve pembayaran booking yang sudah batal</t>
        </is>
      </c>
      <c r="E161" s="21" t="inlineStr">
        <is>
          <t>Booking batal &amp; kursinya sudah dibeli orang lain</t>
        </is>
      </c>
      <c r="F161" s="21" t="inlineStr">
        <is>
          <t>Ditolak (BUG-10)</t>
        </is>
      </c>
      <c r="G161" s="28" t="inlineStr">
        <is>
          <t>BUG-10</t>
        </is>
      </c>
      <c r="H161" s="25" t="n"/>
      <c r="I161" s="25" t="n"/>
      <c r="J161" s="26" t="n"/>
      <c r="K161" s="27" t="n"/>
      <c r="L161" s="26" t="n"/>
    </row>
    <row r="162">
      <c r="A162" s="24" t="n">
        <v>161</v>
      </c>
      <c r="B162" s="21" t="inlineStr">
        <is>
          <t>Admin Utama (role admin_utama) › Pembayaran</t>
        </is>
      </c>
      <c r="C162" s="24" t="inlineStr">
        <is>
          <t>ADM-PAY-06</t>
        </is>
      </c>
      <c r="D162" s="21" t="inlineStr">
        <is>
          <t>Reject pembayaran yang sudah lunas</t>
        </is>
      </c>
      <c r="E162" s="21" t="inlineStr"/>
      <c r="F162" s="21" t="inlineStr">
        <is>
          <t>Ditolak (BUG-10)</t>
        </is>
      </c>
      <c r="G162" s="28" t="inlineStr">
        <is>
          <t>BUG-10</t>
        </is>
      </c>
      <c r="H162" s="25" t="n"/>
      <c r="I162" s="25" t="n"/>
      <c r="J162" s="26" t="n"/>
      <c r="K162" s="27" t="n"/>
      <c r="L162" s="26" t="n"/>
    </row>
    <row r="163">
      <c r="A163" s="24" t="n">
        <v>162</v>
      </c>
      <c r="B163" s="21" t="inlineStr">
        <is>
          <t>Admin Utama (role admin_utama) › Pembayaran</t>
        </is>
      </c>
      <c r="C163" s="24" t="inlineStr">
        <is>
          <t>ADM-PAY-07</t>
        </is>
      </c>
      <c r="D163" s="21" t="inlineStr">
        <is>
          <t>Upload bukti transfer</t>
        </is>
      </c>
      <c r="E163" s="21" t="inlineStr">
        <is>
          <t>jpg/png/webp/pdf ≤ 5MB</t>
        </is>
      </c>
      <c r="F163" s="21" t="inlineStr">
        <is>
          <t>Tersimpan</t>
        </is>
      </c>
      <c r="G163" s="24" t="n"/>
      <c r="H163" s="25" t="n"/>
      <c r="I163" s="25" t="n"/>
      <c r="J163" s="26" t="n"/>
      <c r="K163" s="27" t="n"/>
      <c r="L163" s="26" t="n"/>
    </row>
    <row r="164">
      <c r="A164" s="24" t="n">
        <v>163</v>
      </c>
      <c r="B164" s="21" t="inlineStr">
        <is>
          <t>Admin Utama (role admin_utama) › Pembayaran</t>
        </is>
      </c>
      <c r="C164" s="24" t="inlineStr">
        <is>
          <t>ADM-PAY-08</t>
        </is>
      </c>
      <c r="D164" s="21" t="inlineStr">
        <is>
          <t>Upload file tidak valid</t>
        </is>
      </c>
      <c r="E164" s="21" t="inlineStr">
        <is>
          <t>.exe atau &gt; 5MB</t>
        </is>
      </c>
      <c r="F164" s="21" t="inlineStr">
        <is>
          <t>Error validasi</t>
        </is>
      </c>
      <c r="G164" s="24" t="n"/>
      <c r="H164" s="25" t="n"/>
      <c r="I164" s="25" t="n"/>
      <c r="J164" s="26" t="n"/>
      <c r="K164" s="27" t="n"/>
      <c r="L164" s="26" t="n"/>
    </row>
    <row r="165">
      <c r="A165" s="24" t="n">
        <v>164</v>
      </c>
      <c r="B165" s="21" t="inlineStr">
        <is>
          <t>Admin Utama (role admin_utama) › Pembayaran</t>
        </is>
      </c>
      <c r="C165" s="24" t="inlineStr">
        <is>
          <t>ADM-PAY-09</t>
        </is>
      </c>
      <c r="D165" s="21" t="inlineStr">
        <is>
          <t>Sinkron gateway expire</t>
        </is>
      </c>
      <c r="E165" s="21" t="inlineStr">
        <is>
          <t>Pilih status expire</t>
        </is>
      </c>
      <c r="F165" s="21" t="inlineStr">
        <is>
          <t>Booking batal, sisa kursi kembali (BUG-11)</t>
        </is>
      </c>
      <c r="G165" s="28" t="inlineStr">
        <is>
          <t>BUG-11</t>
        </is>
      </c>
      <c r="H165" s="25" t="n"/>
      <c r="I165" s="25" t="n"/>
      <c r="J165" s="26" t="n"/>
      <c r="K165" s="27" t="n"/>
      <c r="L165" s="26" t="n"/>
    </row>
    <row r="166">
      <c r="A166" s="24" t="n">
        <v>165</v>
      </c>
      <c r="B166" s="21" t="inlineStr">
        <is>
          <t>Admin Utama (role admin_utama) › Pembayaran</t>
        </is>
      </c>
      <c r="C166" s="24" t="inlineStr">
        <is>
          <t>ADM-PAY-10</t>
        </is>
      </c>
      <c r="D166" s="21" t="inlineStr">
        <is>
          <t>Sinkron gateway settlement</t>
        </is>
      </c>
      <c r="E166" s="21" t="inlineStr"/>
      <c r="F166" s="21" t="inlineStr">
        <is>
          <t>Booking lunas, tiket terbit</t>
        </is>
      </c>
      <c r="G166" s="24" t="n"/>
      <c r="H166" s="25" t="n"/>
      <c r="I166" s="25" t="n"/>
      <c r="J166" s="26" t="n"/>
      <c r="K166" s="27" t="n"/>
      <c r="L166" s="26" t="n"/>
    </row>
    <row r="167">
      <c r="A167" s="24" t="n">
        <v>166</v>
      </c>
      <c r="B167" s="21" t="inlineStr">
        <is>
          <t>Admin Utama (role admin_utama) › Rute &amp; Jadwal</t>
        </is>
      </c>
      <c r="C167" s="24" t="inlineStr">
        <is>
          <t>ADM-RT-01</t>
        </is>
      </c>
      <c r="D167" s="21" t="inlineStr">
        <is>
          <t>Tambah rute</t>
        </is>
      </c>
      <c r="E167" s="21" t="inlineStr">
        <is>
          <t>Asal ≠ tujuan, harga ≥ 10.000, durasi</t>
        </is>
      </c>
      <c r="F167" s="21" t="inlineStr">
        <is>
          <t>Rute dibuat</t>
        </is>
      </c>
      <c r="G167" s="24" t="n"/>
      <c r="H167" s="25" t="n"/>
      <c r="I167" s="25" t="n"/>
      <c r="J167" s="26" t="n"/>
      <c r="K167" s="27" t="n"/>
      <c r="L167" s="26" t="n"/>
    </row>
    <row r="168">
      <c r="A168" s="24" t="n">
        <v>167</v>
      </c>
      <c r="B168" s="21" t="inlineStr">
        <is>
          <t>Admin Utama (role admin_utama) › Rute &amp; Jadwal</t>
        </is>
      </c>
      <c r="C168" s="24" t="inlineStr">
        <is>
          <t>ADM-RT-02</t>
        </is>
      </c>
      <c r="D168" s="21" t="inlineStr">
        <is>
          <t>Rute duplikat / harga &lt; 10.000 / asal = tujuan</t>
        </is>
      </c>
      <c r="E168" s="21" t="inlineStr"/>
      <c r="F168" s="21" t="inlineStr">
        <is>
          <t>Ditolak</t>
        </is>
      </c>
      <c r="G168" s="24" t="n"/>
      <c r="H168" s="25" t="n"/>
      <c r="I168" s="25" t="n"/>
      <c r="J168" s="26" t="n"/>
      <c r="K168" s="27" t="n"/>
      <c r="L168" s="26" t="n"/>
    </row>
    <row r="169">
      <c r="A169" s="24" t="n">
        <v>168</v>
      </c>
      <c r="B169" s="21" t="inlineStr">
        <is>
          <t>Admin Utama (role admin_utama) › Rute &amp; Jadwal</t>
        </is>
      </c>
      <c r="C169" s="24" t="inlineStr">
        <is>
          <t>ADM-RT-03</t>
        </is>
      </c>
      <c r="D169" s="21" t="inlineStr">
        <is>
          <t>Edit rute</t>
        </is>
      </c>
      <c r="E169" s="21" t="inlineStr"/>
      <c r="F169" s="21" t="inlineStr">
        <is>
          <t>Tersimpan</t>
        </is>
      </c>
      <c r="G169" s="24" t="n"/>
      <c r="H169" s="25" t="n"/>
      <c r="I169" s="25" t="n"/>
      <c r="J169" s="26" t="n"/>
      <c r="K169" s="27" t="n"/>
      <c r="L169" s="26" t="n"/>
    </row>
    <row r="170">
      <c r="A170" s="24" t="n">
        <v>169</v>
      </c>
      <c r="B170" s="21" t="inlineStr">
        <is>
          <t>Admin Utama (role admin_utama) › Rute &amp; Jadwal</t>
        </is>
      </c>
      <c r="C170" s="24" t="inlineStr">
        <is>
          <t>ADM-RT-04</t>
        </is>
      </c>
      <c r="D170" s="21" t="inlineStr">
        <is>
          <t>Nonaktifkan rute</t>
        </is>
      </c>
      <c r="E170" s="21" t="inlineStr">
        <is>
          <t>Toggle status</t>
        </is>
      </c>
      <c r="F170" s="21" t="inlineStr">
        <is>
          <t>Rute tidak muncul di pencarian</t>
        </is>
      </c>
      <c r="G170" s="24" t="n"/>
      <c r="H170" s="25" t="n"/>
      <c r="I170" s="25" t="n"/>
      <c r="J170" s="26" t="n"/>
      <c r="K170" s="27" t="n"/>
      <c r="L170" s="26" t="n"/>
    </row>
    <row r="171">
      <c r="A171" s="24" t="n">
        <v>170</v>
      </c>
      <c r="B171" s="21" t="inlineStr">
        <is>
          <t>Admin Utama (role admin_utama) › Rute &amp; Jadwal</t>
        </is>
      </c>
      <c r="C171" s="24" t="inlineStr">
        <is>
          <t>ADM-RT-05</t>
        </is>
      </c>
      <c r="D171" s="21" t="inlineStr">
        <is>
          <t>Hapus rute yang punya tiket aktif</t>
        </is>
      </c>
      <c r="E171" s="21" t="inlineStr"/>
      <c r="F171" s="21" t="inlineStr">
        <is>
          <t>Ditolak, disarankan menonaktifkan</t>
        </is>
      </c>
      <c r="G171" s="24" t="n"/>
      <c r="H171" s="25" t="n"/>
      <c r="I171" s="25" t="n"/>
      <c r="J171" s="26" t="n"/>
      <c r="K171" s="27" t="n"/>
      <c r="L171" s="26" t="n"/>
    </row>
    <row r="172">
      <c r="A172" s="24" t="n">
        <v>171</v>
      </c>
      <c r="B172" s="21" t="inlineStr">
        <is>
          <t>Admin Utama (role admin_utama) › Rute &amp; Jadwal</t>
        </is>
      </c>
      <c r="C172" s="24" t="inlineStr">
        <is>
          <t>ADM-RT-06</t>
        </is>
      </c>
      <c r="D172" s="21" t="inlineStr">
        <is>
          <t>Tambah lokasi</t>
        </is>
      </c>
      <c r="E172" s="21" t="inlineStr">
        <is>
          <t>Nama, kode unik ≤ 10 karakter, tipe pool/shuttle/drop_point</t>
        </is>
      </c>
      <c r="F172" s="21" t="inlineStr">
        <is>
          <t>Dibuat</t>
        </is>
      </c>
      <c r="G172" s="24" t="n"/>
      <c r="H172" s="25" t="n"/>
      <c r="I172" s="25" t="n"/>
      <c r="J172" s="26" t="n"/>
      <c r="K172" s="27" t="n"/>
      <c r="L172" s="26" t="n"/>
    </row>
    <row r="173">
      <c r="A173" s="24" t="n">
        <v>172</v>
      </c>
      <c r="B173" s="21" t="inlineStr">
        <is>
          <t>Admin Utama (role admin_utama) › Rute &amp; Jadwal</t>
        </is>
      </c>
      <c r="C173" s="24" t="inlineStr">
        <is>
          <t>ADM-SC-01</t>
        </is>
      </c>
      <c r="D173" s="21" t="inlineStr">
        <is>
          <t>Tambah jadwal</t>
        </is>
      </c>
      <c r="E173" s="21" t="inlineStr">
        <is>
          <t>Rute, armada, sopir, tanggal ≥ hari ini, jam HH:MM</t>
        </is>
      </c>
      <c r="F173" s="21" t="inlineStr">
        <is>
          <t>Dibuat</t>
        </is>
      </c>
      <c r="G173" s="24" t="n"/>
      <c r="H173" s="25" t="n"/>
      <c r="I173" s="25" t="n"/>
      <c r="J173" s="26" t="n"/>
      <c r="K173" s="27" t="n"/>
      <c r="L173" s="26" t="n"/>
    </row>
    <row r="174">
      <c r="A174" s="24" t="n">
        <v>173</v>
      </c>
      <c r="B174" s="21" t="inlineStr">
        <is>
          <t>Admin Utama (role admin_utama) › Rute &amp; Jadwal</t>
        </is>
      </c>
      <c r="C174" s="24" t="inlineStr">
        <is>
          <t>ADM-SC-02</t>
        </is>
      </c>
      <c r="D174" s="21" t="inlineStr">
        <is>
          <t>Jadwal tanggal lampau / format jam salah</t>
        </is>
      </c>
      <c r="E174" s="21" t="inlineStr"/>
      <c r="F174" s="21" t="inlineStr">
        <is>
          <t>Error validasi</t>
        </is>
      </c>
      <c r="G174" s="24" t="n"/>
      <c r="H174" s="25" t="n"/>
      <c r="I174" s="25" t="n"/>
      <c r="J174" s="26" t="n"/>
      <c r="K174" s="27" t="n"/>
      <c r="L174" s="26" t="n"/>
    </row>
    <row r="175">
      <c r="A175" s="24" t="n">
        <v>174</v>
      </c>
      <c r="B175" s="21" t="inlineStr">
        <is>
          <t>Admin Utama (role admin_utama) › Rute &amp; Jadwal</t>
        </is>
      </c>
      <c r="C175" s="24" t="inlineStr">
        <is>
          <t>ADM-SC-03</t>
        </is>
      </c>
      <c r="D175" s="21" t="inlineStr">
        <is>
          <t>Armada bentrok</t>
        </is>
      </c>
      <c r="E175" s="21" t="inlineStr">
        <is>
          <t>Armada sama, tanggal &amp; jam sama</t>
        </is>
      </c>
      <c r="F175" s="21" t="inlineStr">
        <is>
          <t>Ditolak dengan pesan</t>
        </is>
      </c>
      <c r="G175" s="24" t="n"/>
      <c r="H175" s="25" t="n"/>
      <c r="I175" s="25" t="n"/>
      <c r="J175" s="26" t="n"/>
      <c r="K175" s="27" t="n"/>
      <c r="L175" s="26" t="n"/>
    </row>
    <row r="176">
      <c r="A176" s="24" t="n">
        <v>175</v>
      </c>
      <c r="B176" s="21" t="inlineStr">
        <is>
          <t>Admin Utama (role admin_utama) › Rute &amp; Jadwal</t>
        </is>
      </c>
      <c r="C176" s="24" t="inlineStr">
        <is>
          <t>ADM-SC-04</t>
        </is>
      </c>
      <c r="D176" s="21" t="inlineStr">
        <is>
          <t>Sopir bentrok</t>
        </is>
      </c>
      <c r="E176" s="21" t="inlineStr">
        <is>
          <t>Sopir sama, tanggal &amp; jam sama</t>
        </is>
      </c>
      <c r="F176" s="21" t="inlineStr">
        <is>
          <t>Ditolak dengan pesan</t>
        </is>
      </c>
      <c r="G176" s="24" t="n"/>
      <c r="H176" s="25" t="n"/>
      <c r="I176" s="25" t="n"/>
      <c r="J176" s="26" t="n"/>
      <c r="K176" s="27" t="n"/>
      <c r="L176" s="26" t="n"/>
    </row>
    <row r="177">
      <c r="A177" s="24" t="n">
        <v>176</v>
      </c>
      <c r="B177" s="21" t="inlineStr">
        <is>
          <t>Admin Utama (role admin_utama) › Rute &amp; Jadwal</t>
        </is>
      </c>
      <c r="C177" s="24" t="inlineStr">
        <is>
          <t>ADM-SC-05</t>
        </is>
      </c>
      <c r="D177" s="21" t="inlineStr">
        <is>
          <t>Generate jadwal massal</t>
        </is>
      </c>
      <c r="E177" s="21" t="inlineStr">
        <is>
          <t>Rentang 7 hari, 3 jam keberangkatan</t>
        </is>
      </c>
      <c r="F177" s="21" t="inlineStr">
        <is>
          <t>21 jadwal dibuat. Jalankan ulang: 0 dibuat, 21 dilewati</t>
        </is>
      </c>
      <c r="G177" s="24" t="n"/>
      <c r="H177" s="25" t="n"/>
      <c r="I177" s="25" t="n"/>
      <c r="J177" s="26" t="n"/>
      <c r="K177" s="27" t="n"/>
      <c r="L177" s="26" t="n"/>
    </row>
    <row r="178">
      <c r="A178" s="24" t="n">
        <v>177</v>
      </c>
      <c r="B178" s="21" t="inlineStr">
        <is>
          <t>Admin Utama (role admin_utama) › Rute &amp; Jadwal</t>
        </is>
      </c>
      <c r="C178" s="24" t="inlineStr">
        <is>
          <t>ADM-SC-06</t>
        </is>
      </c>
      <c r="D178" s="21" t="inlineStr">
        <is>
          <t>Generate dengan tanggal akhir &lt; awal</t>
        </is>
      </c>
      <c r="E178" s="21" t="inlineStr"/>
      <c r="F178" s="21" t="inlineStr">
        <is>
          <t>Error validasi</t>
        </is>
      </c>
      <c r="G178" s="24" t="n"/>
      <c r="H178" s="25" t="n"/>
      <c r="I178" s="25" t="n"/>
      <c r="J178" s="26" t="n"/>
      <c r="K178" s="27" t="n"/>
      <c r="L178" s="26" t="n"/>
    </row>
    <row r="179">
      <c r="A179" s="24" t="n">
        <v>178</v>
      </c>
      <c r="B179" s="21" t="inlineStr">
        <is>
          <t>Admin Utama (role admin_utama) › Rute &amp; Jadwal</t>
        </is>
      </c>
      <c r="C179" s="24" t="inlineStr">
        <is>
          <t>ADM-SC-06b</t>
        </is>
      </c>
      <c r="D179" s="21" t="inlineStr">
        <is>
          <t>Generate massal bentrok armada/sopir di rute lain</t>
        </is>
      </c>
      <c r="E179" s="21" t="inlineStr">
        <is>
          <t>Armada/sopir sudah punya jadwal rute lain di jam yang sama</t>
        </is>
      </c>
      <c r="F179" s="21" t="inlineStr">
        <is>
          <t>Ditolak/dilewati. Saat ini hanya duplikat rute+armada yang sama yang dicek (BUG-13)</t>
        </is>
      </c>
      <c r="G179" s="28" t="inlineStr">
        <is>
          <t>BUG-13</t>
        </is>
      </c>
      <c r="H179" s="25" t="n"/>
      <c r="I179" s="25" t="n"/>
      <c r="J179" s="26" t="n"/>
      <c r="K179" s="27" t="n"/>
      <c r="L179" s="26" t="n"/>
    </row>
    <row r="180">
      <c r="A180" s="24" t="n">
        <v>179</v>
      </c>
      <c r="B180" s="21" t="inlineStr">
        <is>
          <t>Admin Utama (role admin_utama) › Rute &amp; Jadwal</t>
        </is>
      </c>
      <c r="C180" s="24" t="inlineStr">
        <is>
          <t>ADM-SC-07</t>
        </is>
      </c>
      <c r="D180" s="21" t="inlineStr">
        <is>
          <t>Ganti armada/sopir jadwal kosong</t>
        </is>
      </c>
      <c r="E180" s="21" t="inlineStr"/>
      <c r="F180" s="21" t="inlineStr">
        <is>
          <t>Tersimpan, kapasitas dihitung ulang</t>
        </is>
      </c>
      <c r="G180" s="24" t="n"/>
      <c r="H180" s="25" t="n"/>
      <c r="I180" s="25" t="n"/>
      <c r="J180" s="26" t="n"/>
      <c r="K180" s="27" t="n"/>
      <c r="L180" s="26" t="n"/>
    </row>
    <row r="181">
      <c r="A181" s="24" t="n">
        <v>180</v>
      </c>
      <c r="B181" s="21" t="inlineStr">
        <is>
          <t>Admin Utama (role admin_utama) › Rute &amp; Jadwal</t>
        </is>
      </c>
      <c r="C181" s="24" t="inlineStr">
        <is>
          <t>ADM-SC-08</t>
        </is>
      </c>
      <c r="D181" s="21" t="inlineStr">
        <is>
          <t>Ganti armada jadwal yang sudah ada penumpang / armada sudah dipakai</t>
        </is>
      </c>
      <c r="E181" s="21" t="inlineStr"/>
      <c r="F181" s="21" t="inlineStr">
        <is>
          <t>Ditolak atau kursi dipetakan ulang (BUG-13)</t>
        </is>
      </c>
      <c r="G181" s="28" t="inlineStr">
        <is>
          <t>BUG-13</t>
        </is>
      </c>
      <c r="H181" s="25" t="n"/>
      <c r="I181" s="25" t="n"/>
      <c r="J181" s="26" t="n"/>
      <c r="K181" s="27" t="n"/>
      <c r="L181" s="26" t="n"/>
    </row>
    <row r="182">
      <c r="A182" s="24" t="n">
        <v>181</v>
      </c>
      <c r="B182" s="21" t="inlineStr">
        <is>
          <t>Admin Utama (role admin_utama) › Rute &amp; Jadwal</t>
        </is>
      </c>
      <c r="C182" s="24" t="inlineStr">
        <is>
          <t>ADM-SC-09</t>
        </is>
      </c>
      <c r="D182" s="21" t="inlineStr">
        <is>
          <t>Ubah status jadwal</t>
        </is>
      </c>
      <c r="E182" s="21" t="inlineStr">
        <is>
          <t>Scheduled/Active/Completed</t>
        </is>
      </c>
      <c r="F182" s="21" t="inlineStr">
        <is>
          <t>Tersimpan</t>
        </is>
      </c>
      <c r="G182" s="24" t="n"/>
      <c r="H182" s="25" t="n"/>
      <c r="I182" s="25" t="n"/>
      <c r="J182" s="26" t="n"/>
      <c r="K182" s="27" t="n"/>
      <c r="L182" s="26" t="n"/>
    </row>
    <row r="183">
      <c r="A183" s="24" t="n">
        <v>182</v>
      </c>
      <c r="B183" s="21" t="inlineStr">
        <is>
          <t>Admin Utama (role admin_utama) › Rute &amp; Jadwal</t>
        </is>
      </c>
      <c r="C183" s="24" t="inlineStr">
        <is>
          <t>ADM-SC-10</t>
        </is>
      </c>
      <c r="D183" s="21" t="inlineStr">
        <is>
          <t>Batalkan jadwal yang sudah ada penumpang</t>
        </is>
      </c>
      <c r="E183" s="21" t="inlineStr">
        <is>
          <t>Status Cancelled</t>
        </is>
      </c>
      <c r="F183" s="21" t="inlineStr">
        <is>
          <t>Booking dibatalkan/refund &amp; penumpang diberi tahu (BUG-14)</t>
        </is>
      </c>
      <c r="G183" s="28" t="inlineStr">
        <is>
          <t>BUG-14</t>
        </is>
      </c>
      <c r="H183" s="25" t="n"/>
      <c r="I183" s="25" t="n"/>
      <c r="J183" s="26" t="n"/>
      <c r="K183" s="27" t="n"/>
      <c r="L183" s="26" t="n"/>
    </row>
    <row r="184">
      <c r="A184" s="24" t="n">
        <v>183</v>
      </c>
      <c r="B184" s="21" t="inlineStr">
        <is>
          <t>Admin Utama (role admin_utama) › Rute &amp; Jadwal</t>
        </is>
      </c>
      <c r="C184" s="24" t="inlineStr">
        <is>
          <t>ADM-SC-11</t>
        </is>
      </c>
      <c r="D184" s="21" t="inlineStr">
        <is>
          <t>Hapus jadwal yang ada booking</t>
        </is>
      </c>
      <c r="E184" s="21" t="inlineStr"/>
      <c r="F184" s="21" t="inlineStr">
        <is>
          <t>Ditolak</t>
        </is>
      </c>
      <c r="G184" s="24" t="n"/>
      <c r="H184" s="25" t="n"/>
      <c r="I184" s="25" t="n"/>
      <c r="J184" s="26" t="n"/>
      <c r="K184" s="27" t="n"/>
      <c r="L184" s="26" t="n"/>
    </row>
    <row r="185">
      <c r="A185" s="24" t="n">
        <v>184</v>
      </c>
      <c r="B185" s="21" t="inlineStr">
        <is>
          <t>Admin Utama (role admin_utama) › Rute &amp; Jadwal</t>
        </is>
      </c>
      <c r="C185" s="24" t="inlineStr">
        <is>
          <t>ADM-SC-12</t>
        </is>
      </c>
      <c r="D185" s="21" t="inlineStr">
        <is>
          <t>Hapus jadwal kosong</t>
        </is>
      </c>
      <c r="E185" s="21" t="inlineStr"/>
      <c r="F185" s="21" t="inlineStr">
        <is>
          <t>Terhapus</t>
        </is>
      </c>
      <c r="G185" s="24" t="n"/>
      <c r="H185" s="25" t="n"/>
      <c r="I185" s="25" t="n"/>
      <c r="J185" s="26" t="n"/>
      <c r="K185" s="27" t="n"/>
      <c r="L185" s="26" t="n"/>
    </row>
    <row r="186">
      <c r="A186" s="24" t="n">
        <v>185</v>
      </c>
      <c r="B186" s="21" t="inlineStr">
        <is>
          <t>Admin Utama (role admin_utama) › Refund</t>
        </is>
      </c>
      <c r="C186" s="24" t="inlineStr">
        <is>
          <t>ADM-RF-01</t>
        </is>
      </c>
      <c r="D186" s="21" t="inlineStr">
        <is>
          <t>Buat refund (persentase)</t>
        </is>
      </c>
      <c r="E186" s="21" t="inlineStr">
        <is>
          <t>Booking lunas, fee 10%</t>
        </is>
      </c>
      <c r="F186" s="21" t="inlineStr">
        <is>
          <t>Nominal bersih = 90%</t>
        </is>
      </c>
      <c r="G186" s="24" t="n"/>
      <c r="H186" s="25" t="n"/>
      <c r="I186" s="25" t="n"/>
      <c r="J186" s="26" t="n"/>
      <c r="K186" s="27" t="n"/>
      <c r="L186" s="26" t="n"/>
    </row>
    <row r="187">
      <c r="A187" s="24" t="n">
        <v>186</v>
      </c>
      <c r="B187" s="21" t="inlineStr">
        <is>
          <t>Admin Utama (role admin_utama) › Refund</t>
        </is>
      </c>
      <c r="C187" s="24" t="inlineStr">
        <is>
          <t>ADM-RF-02</t>
        </is>
      </c>
      <c r="D187" s="21" t="inlineStr">
        <is>
          <t>Buat refund (nominal)</t>
        </is>
      </c>
      <c r="E187" s="21" t="inlineStr">
        <is>
          <t>Fee Rp 200.000 &gt; harga tiket</t>
        </is>
      </c>
      <c r="F187" s="21" t="inlineStr">
        <is>
          <t>Fee dibatasi ke harga tiket, bersih 0</t>
        </is>
      </c>
      <c r="G187" s="24" t="n"/>
      <c r="H187" s="25" t="n"/>
      <c r="I187" s="25" t="n"/>
      <c r="J187" s="26" t="n"/>
      <c r="K187" s="27" t="n"/>
      <c r="L187" s="26" t="n"/>
    </row>
    <row r="188">
      <c r="A188" s="24" t="n">
        <v>187</v>
      </c>
      <c r="B188" s="21" t="inlineStr">
        <is>
          <t>Admin Utama (role admin_utama) › Refund</t>
        </is>
      </c>
      <c r="C188" s="24" t="inlineStr">
        <is>
          <t>ADM-RF-03</t>
        </is>
      </c>
      <c r="D188" s="21" t="inlineStr">
        <is>
          <t>Refund ganda</t>
        </is>
      </c>
      <c r="E188" s="21" t="inlineStr">
        <is>
          <t>Penumpang sudah ajukan refund (Diajukan), admin buat refund lagi</t>
        </is>
      </c>
      <c r="F188" s="21" t="inlineStr">
        <is>
          <t>Ditolak (BUG-09)</t>
        </is>
      </c>
      <c r="G188" s="28" t="inlineStr">
        <is>
          <t>BUG-09</t>
        </is>
      </c>
      <c r="H188" s="25" t="n"/>
      <c r="I188" s="25" t="n"/>
      <c r="J188" s="26" t="n"/>
      <c r="K188" s="27" t="n"/>
      <c r="L188" s="26" t="n"/>
    </row>
    <row r="189">
      <c r="A189" s="24" t="n">
        <v>188</v>
      </c>
      <c r="B189" s="21" t="inlineStr">
        <is>
          <t>Admin Utama (role admin_utama) › Refund</t>
        </is>
      </c>
      <c r="C189" s="24" t="inlineStr">
        <is>
          <t>ADM-RF-04</t>
        </is>
      </c>
      <c r="D189" s="21" t="inlineStr">
        <is>
          <t>Approve refund</t>
        </is>
      </c>
      <c r="E189" s="21" t="inlineStr">
        <is>
          <t>Dengan bukti transfer gambar ≤ 4MB</t>
        </is>
      </c>
      <c r="F189" s="21" t="inlineStr">
        <is>
          <t>Refund Disetujui, booking &amp; tiket batal, pembayaran Refunded, kursi lepas</t>
        </is>
      </c>
      <c r="G189" s="24" t="n"/>
      <c r="H189" s="25" t="n"/>
      <c r="I189" s="25" t="n"/>
      <c r="J189" s="26" t="n"/>
      <c r="K189" s="27" t="n"/>
      <c r="L189" s="26" t="n"/>
    </row>
    <row r="190">
      <c r="A190" s="24" t="n">
        <v>189</v>
      </c>
      <c r="B190" s="21" t="inlineStr">
        <is>
          <t>Admin Utama (role admin_utama) › Refund</t>
        </is>
      </c>
      <c r="C190" s="24" t="inlineStr">
        <is>
          <t>ADM-RF-05</t>
        </is>
      </c>
      <c r="D190" s="21" t="inlineStr">
        <is>
          <t>Approve ulang</t>
        </is>
      </c>
      <c r="E190" s="21" t="inlineStr">
        <is>
          <t>Approve refund yang sudah disetujui</t>
        </is>
      </c>
      <c r="F190" s="21" t="inlineStr">
        <is>
          <t>Ditolak dengan pesan</t>
        </is>
      </c>
      <c r="G190" s="24" t="n"/>
      <c r="H190" s="25" t="n"/>
      <c r="I190" s="25" t="n"/>
      <c r="J190" s="26" t="n"/>
      <c r="K190" s="27" t="n"/>
      <c r="L190" s="26" t="n"/>
    </row>
    <row r="191">
      <c r="A191" s="24" t="n">
        <v>190</v>
      </c>
      <c r="B191" s="21" t="inlineStr">
        <is>
          <t>Admin Utama (role admin_utama) › Refund</t>
        </is>
      </c>
      <c r="C191" s="24" t="inlineStr">
        <is>
          <t>ADM-RF-06</t>
        </is>
      </c>
      <c r="D191" s="21" t="inlineStr">
        <is>
          <t>Reject refund tanpa alasan / &lt; 5 karakter</t>
        </is>
      </c>
      <c r="E191" s="21" t="inlineStr"/>
      <c r="F191" s="21" t="inlineStr">
        <is>
          <t>Error validasi</t>
        </is>
      </c>
      <c r="G191" s="24" t="n"/>
      <c r="H191" s="25" t="n"/>
      <c r="I191" s="25" t="n"/>
      <c r="J191" s="26" t="n"/>
      <c r="K191" s="27" t="n"/>
      <c r="L191" s="26" t="n"/>
    </row>
    <row r="192">
      <c r="A192" s="24" t="n">
        <v>191</v>
      </c>
      <c r="B192" s="21" t="inlineStr">
        <is>
          <t>Admin Utama (role admin_utama) › Refund</t>
        </is>
      </c>
      <c r="C192" s="24" t="inlineStr">
        <is>
          <t>ADM-RF-07</t>
        </is>
      </c>
      <c r="D192" s="21" t="inlineStr">
        <is>
          <t>Reject refund dari penumpang</t>
        </is>
      </c>
      <c r="E192" s="21" t="inlineStr">
        <is>
          <t>Tolak refund Diajukan</t>
        </is>
      </c>
      <c r="F192" s="21" t="inlineStr">
        <is>
          <t>Booking &amp; tiket kembali aktif sesuai pesan sistem (BUG-09)</t>
        </is>
      </c>
      <c r="G192" s="28" t="inlineStr">
        <is>
          <t>BUG-09</t>
        </is>
      </c>
      <c r="H192" s="25" t="n"/>
      <c r="I192" s="25" t="n"/>
      <c r="J192" s="26" t="n"/>
      <c r="K192" s="27" t="n"/>
      <c r="L192" s="26" t="n"/>
    </row>
    <row r="193">
      <c r="A193" s="24" t="n">
        <v>192</v>
      </c>
      <c r="B193" s="21" t="inlineStr">
        <is>
          <t>Admin Utama (role admin_utama) › Refund</t>
        </is>
      </c>
      <c r="C193" s="24" t="inlineStr">
        <is>
          <t>ADM-RF-08</t>
        </is>
      </c>
      <c r="D193" s="21" t="inlineStr">
        <is>
          <t>Counter refund pending</t>
        </is>
      </c>
      <c r="E193" s="21" t="inlineStr">
        <is>
          <t>Penumpang ajukan refund, buka /refund</t>
        </is>
      </c>
      <c r="F193" s="21" t="inlineStr">
        <is>
          <t>Counter bertambah (lihat BUG-09)</t>
        </is>
      </c>
      <c r="G193" s="24" t="inlineStr">
        <is>
          <t>BUG-09</t>
        </is>
      </c>
      <c r="H193" s="25" t="n"/>
      <c r="I193" s="25" t="n"/>
      <c r="J193" s="26" t="n"/>
      <c r="K193" s="27" t="n"/>
      <c r="L193" s="26" t="n"/>
    </row>
    <row r="194">
      <c r="A194" s="24" t="n">
        <v>193</v>
      </c>
      <c r="B194" s="21" t="inlineStr">
        <is>
          <t>Admin Utama (role admin_utama) › Laporan</t>
        </is>
      </c>
      <c r="C194" s="24" t="inlineStr">
        <is>
          <t>ADM-LP-01</t>
        </is>
      </c>
      <c r="D194" s="21" t="inlineStr">
        <is>
          <t>Laporan per tab</t>
        </is>
      </c>
      <c r="E194" s="21" t="inlineStr">
        <is>
          <t>/laporan: rekonsiliasi, keterisian kursi, manifes, refund</t>
        </is>
      </c>
      <c r="F194" s="21" t="inlineStr">
        <is>
          <t>Semua tab tampil, angka cocok dengan data</t>
        </is>
      </c>
      <c r="G194" s="24" t="n"/>
      <c r="H194" s="25" t="n"/>
      <c r="I194" s="25" t="n"/>
      <c r="J194" s="26" t="n"/>
      <c r="K194" s="27" t="n"/>
      <c r="L194" s="26" t="n"/>
    </row>
    <row r="195">
      <c r="A195" s="24" t="n">
        <v>194</v>
      </c>
      <c r="B195" s="21" t="inlineStr">
        <is>
          <t>Admin Utama (role admin_utama) › Laporan</t>
        </is>
      </c>
      <c r="C195" s="24" t="inlineStr">
        <is>
          <t>ADM-LP-02</t>
        </is>
      </c>
      <c r="D195" s="21" t="inlineStr">
        <is>
          <t>Filter tanggal</t>
        </is>
      </c>
      <c r="E195" s="21" t="inlineStr">
        <is>
          <t>Ubah rentang tanggal</t>
        </is>
      </c>
      <c r="F195" s="21" t="inlineStr">
        <is>
          <t>Angka berubah sesuai filter</t>
        </is>
      </c>
      <c r="G195" s="24" t="n"/>
      <c r="H195" s="25" t="n"/>
      <c r="I195" s="25" t="n"/>
      <c r="J195" s="26" t="n"/>
      <c r="K195" s="27" t="n"/>
      <c r="L195" s="26" t="n"/>
    </row>
    <row r="196">
      <c r="A196" s="24" t="n">
        <v>195</v>
      </c>
      <c r="B196" s="21" t="inlineStr">
        <is>
          <t>Admin Utama (role admin_utama) › Laporan</t>
        </is>
      </c>
      <c r="C196" s="24" t="inlineStr">
        <is>
          <t>ADM-LP-03</t>
        </is>
      </c>
      <c r="D196" s="21" t="inlineStr">
        <is>
          <t>Ekspor Excel</t>
        </is>
      </c>
      <c r="E196" s="21" t="inlineStr">
        <is>
          <t>Klik ekspor Excel</t>
        </is>
      </c>
      <c r="F196" s="21" t="inlineStr">
        <is>
          <t>File terunduh, isi sesuai filter</t>
        </is>
      </c>
      <c r="G196" s="24" t="n"/>
      <c r="H196" s="25" t="n"/>
      <c r="I196" s="25" t="n"/>
      <c r="J196" s="26" t="n"/>
      <c r="K196" s="27" t="n"/>
      <c r="L196" s="26" t="n"/>
    </row>
    <row r="197">
      <c r="A197" s="24" t="n">
        <v>196</v>
      </c>
      <c r="B197" s="21" t="inlineStr">
        <is>
          <t>Admin Utama (role admin_utama) › Laporan</t>
        </is>
      </c>
      <c r="C197" s="24" t="inlineStr">
        <is>
          <t>ADM-LP-04</t>
        </is>
      </c>
      <c r="D197" s="21" t="inlineStr">
        <is>
          <t>Ekspor PDF</t>
        </is>
      </c>
      <c r="E197" s="21" t="inlineStr">
        <is>
          <t>Klik ekspor PDF</t>
        </is>
      </c>
      <c r="F197" s="21" t="inlineStr">
        <is>
          <t>File terunduh, isi sesuai filter</t>
        </is>
      </c>
      <c r="G197" s="24" t="n"/>
      <c r="H197" s="25" t="n"/>
      <c r="I197" s="25" t="n"/>
      <c r="J197" s="26" t="n"/>
      <c r="K197" s="27" t="n"/>
      <c r="L197" s="26" t="n"/>
    </row>
    <row r="198">
      <c r="A198" s="24" t="n">
        <v>197</v>
      </c>
      <c r="B198" s="21" t="inlineStr">
        <is>
          <t>Admin Utama (role admin_utama) › Laporan</t>
        </is>
      </c>
      <c r="C198" s="24" t="inlineStr">
        <is>
          <t>ADM-LP-05</t>
        </is>
      </c>
      <c r="D198" s="21" t="inlineStr">
        <is>
          <t>Tanpa data</t>
        </is>
      </c>
      <c r="E198" s="21" t="inlineStr">
        <is>
          <t>Rentang tanggal tanpa transaksi</t>
        </is>
      </c>
      <c r="F198" s="21" t="inlineStr">
        <is>
          <t>Tidak error, tampil kosong</t>
        </is>
      </c>
      <c r="G198" s="24" t="n"/>
      <c r="H198" s="25" t="n"/>
      <c r="I198" s="25" t="n"/>
      <c r="J198" s="26" t="n"/>
      <c r="K198" s="27" t="n"/>
      <c r="L198" s="26" t="n"/>
    </row>
    <row r="199">
      <c r="A199" s="24" t="n">
        <v>198</v>
      </c>
      <c r="B199" s="21" t="inlineStr">
        <is>
          <t>Admin Utama (role admin_utama) › Pengaturan</t>
        </is>
      </c>
      <c r="C199" s="24" t="inlineStr">
        <is>
          <t>ADM-SET-01</t>
        </is>
      </c>
      <c r="D199" s="21" t="inlineStr">
        <is>
          <t>Halaman pengaturan</t>
        </is>
      </c>
      <c r="E199" s="21" t="inlineStr">
        <is>
          <t>/pengaturan</t>
        </is>
      </c>
      <c r="F199" s="21" t="inlineStr">
        <is>
          <t>5 bagian tampil: profil, kebijakan, pembayaran, titik operasional, keamanan</t>
        </is>
      </c>
      <c r="G199" s="24" t="n"/>
      <c r="H199" s="25" t="n"/>
      <c r="I199" s="25" t="n"/>
      <c r="J199" s="26" t="n"/>
      <c r="K199" s="27" t="n"/>
      <c r="L199" s="26" t="n"/>
    </row>
    <row r="200">
      <c r="A200" s="24" t="n">
        <v>199</v>
      </c>
      <c r="B200" s="21" t="inlineStr">
        <is>
          <t>Admin Utama (role admin_utama) › Pengaturan</t>
        </is>
      </c>
      <c r="C200" s="24" t="inlineStr">
        <is>
          <t>ADM-SET-02</t>
        </is>
      </c>
      <c r="D200" s="21" t="inlineStr">
        <is>
          <t>Profil perusahaan</t>
        </is>
      </c>
      <c r="E200" s="21" t="inlineStr">
        <is>
          <t>Nama wajib, logo ≤ 2MB</t>
        </is>
      </c>
      <c r="F200" s="21" t="inlineStr">
        <is>
          <t>Tersimpan, logo tampil</t>
        </is>
      </c>
      <c r="G200" s="24" t="n"/>
      <c r="H200" s="25" t="n"/>
      <c r="I200" s="25" t="n"/>
      <c r="J200" s="26" t="n"/>
      <c r="K200" s="27" t="n"/>
      <c r="L200" s="26" t="n"/>
    </row>
    <row r="201">
      <c r="A201" s="24" t="n">
        <v>200</v>
      </c>
      <c r="B201" s="21" t="inlineStr">
        <is>
          <t>Admin Utama (role admin_utama) › Pengaturan</t>
        </is>
      </c>
      <c r="C201" s="24" t="inlineStr">
        <is>
          <t>ADM-SET-03</t>
        </is>
      </c>
      <c r="D201" s="21" t="inlineStr">
        <is>
          <t>Kebijakan tiket</t>
        </is>
      </c>
      <c r="E201" s="21" t="inlineStr">
        <is>
          <t>Timeout 1–1440 menit, cutoff reschedule 0–168 jam</t>
        </is>
      </c>
      <c r="F201" s="21" t="inlineStr">
        <is>
          <t>Tersimpan; nilai di luar batas ditolak</t>
        </is>
      </c>
      <c r="G201" s="24" t="n"/>
      <c r="H201" s="25" t="n"/>
      <c r="I201" s="25" t="n"/>
      <c r="J201" s="26" t="n"/>
      <c r="K201" s="27" t="n"/>
      <c r="L201" s="26" t="n"/>
    </row>
    <row r="202">
      <c r="A202" s="24" t="n">
        <v>201</v>
      </c>
      <c r="B202" s="21" t="inlineStr">
        <is>
          <t>Admin Utama (role admin_utama) › Pengaturan</t>
        </is>
      </c>
      <c r="C202" s="24" t="inlineStr">
        <is>
          <t>ADM-SET-04</t>
        </is>
      </c>
      <c r="D202" s="21" t="inlineStr">
        <is>
          <t>Integrasi pembayaran</t>
        </is>
      </c>
      <c r="E202" s="21" t="inlineStr">
        <is>
          <t>provider midtrans/xendit/none, server/client key</t>
        </is>
      </c>
      <c r="F202" s="21" t="inlineStr">
        <is>
          <t>Tersimpan</t>
        </is>
      </c>
      <c r="G202" s="24" t="n"/>
      <c r="H202" s="25" t="n"/>
      <c r="I202" s="25" t="n"/>
      <c r="J202" s="26" t="n"/>
      <c r="K202" s="27" t="n"/>
      <c r="L202" s="26" t="n"/>
    </row>
    <row r="203">
      <c r="A203" s="24" t="n">
        <v>202</v>
      </c>
      <c r="B203" s="21" t="inlineStr">
        <is>
          <t>Admin Utama (role admin_utama) › Pengaturan</t>
        </is>
      </c>
      <c r="C203" s="24" t="inlineStr">
        <is>
          <t>ADM-SET-05</t>
        </is>
      </c>
      <c r="D203" s="21" t="inlineStr">
        <is>
          <t>Titik operasional</t>
        </is>
      </c>
      <c r="E203" s="21" t="inlineStr">
        <is>
          <t>Tambah, edit, hapus; maps_url harus URL</t>
        </is>
      </c>
      <c r="F203" s="21" t="inlineStr">
        <is>
          <t>CRUD jalan, URL tidak valid ditolak</t>
        </is>
      </c>
      <c r="G203" s="24" t="n"/>
      <c r="H203" s="25" t="n"/>
      <c r="I203" s="25" t="n"/>
      <c r="J203" s="26" t="n"/>
      <c r="K203" s="27" t="n"/>
      <c r="L203" s="26" t="n"/>
    </row>
    <row r="204">
      <c r="A204" s="24" t="n">
        <v>203</v>
      </c>
      <c r="B204" s="21" t="inlineStr">
        <is>
          <t>Admin Utama (role admin_utama) › Pengaturan</t>
        </is>
      </c>
      <c r="C204" s="24" t="inlineStr">
        <is>
          <t>ADM-SET-06</t>
        </is>
      </c>
      <c r="D204" s="21" t="inlineStr">
        <is>
          <t>Ganti password admin</t>
        </is>
      </c>
      <c r="E204" s="21" t="inlineStr">
        <is>
          <t>Password lama benar + baru 8+ + konfirmasi</t>
        </is>
      </c>
      <c r="F204" s="21" t="inlineStr">
        <is>
          <t>Berhasil</t>
        </is>
      </c>
      <c r="G204" s="24" t="n"/>
      <c r="H204" s="25" t="n"/>
      <c r="I204" s="25" t="n"/>
      <c r="J204" s="26" t="n"/>
      <c r="K204" s="27" t="n"/>
      <c r="L204" s="26" t="n"/>
    </row>
    <row r="205">
      <c r="A205" s="24" t="n">
        <v>204</v>
      </c>
      <c r="B205" s="21" t="inlineStr">
        <is>
          <t>Admin Utama (role admin_utama) › Pengaturan</t>
        </is>
      </c>
      <c r="C205" s="24" t="inlineStr">
        <is>
          <t>ADM-SET-07</t>
        </is>
      </c>
      <c r="D205" s="21" t="inlineStr">
        <is>
          <t>Password lama salah</t>
        </is>
      </c>
      <c r="E205" s="21" t="inlineStr"/>
      <c r="F205" s="21" t="inlineStr">
        <is>
          <t>"Kata sandi saat ini tidak cocok."</t>
        </is>
      </c>
      <c r="G205" s="24" t="n"/>
      <c r="H205" s="25" t="n"/>
      <c r="I205" s="25" t="n"/>
      <c r="J205" s="26" t="n"/>
      <c r="K205" s="27" t="n"/>
      <c r="L205" s="26" t="n"/>
    </row>
    <row r="206">
      <c r="A206" s="24" t="n">
        <v>205</v>
      </c>
      <c r="B206" s="21" t="inlineStr">
        <is>
          <t>Staff Loket (role staff)</t>
        </is>
      </c>
      <c r="C206" s="24" t="inlineStr">
        <is>
          <t>STF-01</t>
        </is>
      </c>
      <c r="D206" s="21" t="inlineStr">
        <is>
          <t>Dashboard staff</t>
        </is>
      </c>
      <c r="E206" s="21" t="inlineStr">
        <is>
          <t>/admin/dashboard</t>
        </is>
      </c>
      <c r="F206" s="21" t="inlineStr">
        <is>
          <t>Statistik tampil</t>
        </is>
      </c>
      <c r="G206" s="24" t="n"/>
      <c r="H206" s="25" t="n"/>
      <c r="I206" s="25" t="n"/>
      <c r="J206" s="26" t="n"/>
      <c r="K206" s="27" t="n"/>
      <c r="L206" s="26" t="n"/>
    </row>
    <row r="207">
      <c r="A207" s="24" t="n">
        <v>206</v>
      </c>
      <c r="B207" s="21" t="inlineStr">
        <is>
          <t>Staff Loket (role staff)</t>
        </is>
      </c>
      <c r="C207" s="24" t="inlineStr">
        <is>
          <t>STF-02</t>
        </is>
      </c>
      <c r="D207" s="21" t="inlineStr">
        <is>
          <t>Manajemen booking</t>
        </is>
      </c>
      <c r="E207" s="21" t="inlineStr">
        <is>
          <t>/admin/manajemen-booking, filter &amp; cari</t>
        </is>
      </c>
      <c r="F207" s="21" t="inlineStr">
        <is>
          <t>Data booking tampil</t>
        </is>
      </c>
      <c r="G207" s="24" t="n"/>
      <c r="H207" s="25" t="n"/>
      <c r="I207" s="25" t="n"/>
      <c r="J207" s="26" t="n"/>
      <c r="K207" s="27" t="n"/>
      <c r="L207" s="26" t="n"/>
    </row>
    <row r="208">
      <c r="A208" s="24" t="n">
        <v>207</v>
      </c>
      <c r="B208" s="21" t="inlineStr">
        <is>
          <t>Staff Loket (role staff)</t>
        </is>
      </c>
      <c r="C208" s="24" t="inlineStr">
        <is>
          <t>STF-03</t>
        </is>
      </c>
      <c r="D208" s="21" t="inlineStr">
        <is>
          <t>Informasi perjalanan</t>
        </is>
      </c>
      <c r="E208" s="21" t="inlineStr">
        <is>
          <t>/admin/informasi-perjalanan</t>
        </is>
      </c>
      <c r="F208" s="21" t="inlineStr">
        <is>
          <t>Jadwal &amp; armada tampil</t>
        </is>
      </c>
      <c r="G208" s="24" t="n"/>
      <c r="H208" s="25" t="n"/>
      <c r="I208" s="25" t="n"/>
      <c r="J208" s="26" t="n"/>
      <c r="K208" s="27" t="n"/>
      <c r="L208" s="26" t="n"/>
    </row>
    <row r="209">
      <c r="A209" s="24" t="n">
        <v>208</v>
      </c>
      <c r="B209" s="21" t="inlineStr">
        <is>
          <t>Staff Loket (role staff)</t>
        </is>
      </c>
      <c r="C209" s="24" t="inlineStr">
        <is>
          <t>STF-04</t>
        </is>
      </c>
      <c r="D209" s="21" t="inlineStr">
        <is>
          <t>Halaman validasi tiket</t>
        </is>
      </c>
      <c r="E209" s="21" t="inlineStr">
        <is>
          <t>/admin/validasi-tiket</t>
        </is>
      </c>
      <c r="F209" s="21" t="inlineStr">
        <is>
          <t>Tampil dengan pilihan jadwal</t>
        </is>
      </c>
      <c r="G209" s="24" t="n"/>
      <c r="H209" s="25" t="n"/>
      <c r="I209" s="25" t="n"/>
      <c r="J209" s="26" t="n"/>
      <c r="K209" s="27" t="n"/>
      <c r="L209" s="26" t="n"/>
    </row>
    <row r="210">
      <c r="A210" s="24" t="n">
        <v>209</v>
      </c>
      <c r="B210" s="21" t="inlineStr">
        <is>
          <t>Staff Loket (role staff)</t>
        </is>
      </c>
      <c r="C210" s="24" t="inlineStr">
        <is>
          <t>STF-05</t>
        </is>
      </c>
      <c r="D210" s="21" t="inlineStr">
        <is>
          <t>Hak akses staf</t>
        </is>
      </c>
      <c r="E210" s="21" t="inlineStr">
        <is>
          <t>Hapus hak checkin_ticket dari staf, lalu validasi tiket</t>
        </is>
      </c>
      <c r="F210" s="21" t="inlineStr">
        <is>
          <t>Ditolak (BUG-17)</t>
        </is>
      </c>
      <c r="G210" s="28" t="inlineStr">
        <is>
          <t>BUG-17</t>
        </is>
      </c>
      <c r="H210" s="25" t="n"/>
      <c r="I210" s="25" t="n"/>
      <c r="J210" s="26" t="n"/>
      <c r="K210" s="27" t="n"/>
      <c r="L210" s="26" t="n"/>
    </row>
    <row r="211">
      <c r="A211" s="24" t="n">
        <v>210</v>
      </c>
      <c r="B211" s="21" t="inlineStr">
        <is>
          <t>Staff Loket (role staff)</t>
        </is>
      </c>
      <c r="C211" s="24" t="inlineStr">
        <is>
          <t>STF-VT-01</t>
        </is>
      </c>
      <c r="D211" s="21" t="inlineStr">
        <is>
          <t>Tiket valid</t>
        </is>
      </c>
      <c r="E211" s="21" t="inlineStr">
        <is>
          <t>Scan kode QR / nomor tiket / kode booking yang lunas, jadwal hari ini</t>
        </is>
      </c>
      <c r="F211" s="21" t="inlineStr">
        <is>
          <t>Sukses, semua penumpang boarded</t>
        </is>
      </c>
      <c r="G211" s="24" t="n"/>
      <c r="H211" s="25" t="n"/>
      <c r="I211" s="25" t="n"/>
      <c r="J211" s="26" t="n"/>
      <c r="K211" s="27" t="n"/>
      <c r="L211" s="26" t="n"/>
    </row>
    <row r="212">
      <c r="A212" s="24" t="n">
        <v>211</v>
      </c>
      <c r="B212" s="21" t="inlineStr">
        <is>
          <t>Staff Loket (role staff)</t>
        </is>
      </c>
      <c r="C212" s="24" t="inlineStr">
        <is>
          <t>STF-VT-02</t>
        </is>
      </c>
      <c r="D212" s="21" t="inlineStr">
        <is>
          <t>Format kode</t>
        </is>
      </c>
      <c r="E212" s="21" t="inlineStr">
        <is>
          <t>Uji QR-TRV-…, TRV-… (tanpa prefix), huruf kecil</t>
        </is>
      </c>
      <c r="F212" s="21" t="inlineStr">
        <is>
          <t>Semua ditemukan</t>
        </is>
      </c>
      <c r="G212" s="24" t="n"/>
      <c r="H212" s="25" t="n"/>
      <c r="I212" s="25" t="n"/>
      <c r="J212" s="26" t="n"/>
      <c r="K212" s="27" t="n"/>
      <c r="L212" s="26" t="n"/>
    </row>
    <row r="213">
      <c r="A213" s="24" t="n">
        <v>212</v>
      </c>
      <c r="B213" s="21" t="inlineStr">
        <is>
          <t>Staff Loket (role staff)</t>
        </is>
      </c>
      <c r="C213" s="24" t="inlineStr">
        <is>
          <t>STF-VT-03</t>
        </is>
      </c>
      <c r="D213" s="21" t="inlineStr">
        <is>
          <t>Tiket dibatalkan</t>
        </is>
      </c>
      <c r="E213" s="21" t="inlineStr">
        <is>
          <t>Booking cancelled</t>
        </is>
      </c>
      <c r="F213" s="21" t="inlineStr">
        <is>
          <t>"Tiket Telah Dibatalkan"</t>
        </is>
      </c>
      <c r="G213" s="24" t="n"/>
      <c r="H213" s="25" t="n"/>
      <c r="I213" s="25" t="n"/>
      <c r="J213" s="26" t="n"/>
      <c r="K213" s="27" t="n"/>
      <c r="L213" s="26" t="n"/>
    </row>
    <row r="214">
      <c r="A214" s="24" t="n">
        <v>213</v>
      </c>
      <c r="B214" s="21" t="inlineStr">
        <is>
          <t>Staff Loket (role staff)</t>
        </is>
      </c>
      <c r="C214" s="24" t="inlineStr">
        <is>
          <t>STF-VT-04</t>
        </is>
      </c>
      <c r="D214" s="21" t="inlineStr">
        <is>
          <t>Tiket sudah di-refund</t>
        </is>
      </c>
      <c r="E214" s="21" t="inlineStr">
        <is>
          <t>Refund disetujui</t>
        </is>
      </c>
      <c r="F214" s="21" t="inlineStr">
        <is>
          <t>"Tiket Telah Di-refund"</t>
        </is>
      </c>
      <c r="G214" s="24" t="n"/>
      <c r="H214" s="25" t="n"/>
      <c r="I214" s="25" t="n"/>
      <c r="J214" s="26" t="n"/>
      <c r="K214" s="27" t="n"/>
      <c r="L214" s="26" t="n"/>
    </row>
    <row r="215">
      <c r="A215" s="24" t="n">
        <v>214</v>
      </c>
      <c r="B215" s="21" t="inlineStr">
        <is>
          <t>Staff Loket (role staff)</t>
        </is>
      </c>
      <c r="C215" s="24" t="inlineStr">
        <is>
          <t>STF-VT-05</t>
        </is>
      </c>
      <c r="D215" s="21" t="inlineStr">
        <is>
          <t>Tiket belum lunas</t>
        </is>
      </c>
      <c r="E215" s="21" t="inlineStr">
        <is>
          <t>Booking pending</t>
        </is>
      </c>
      <c r="F215" s="21" t="inlineStr">
        <is>
          <t>"Tiket Belum Lunas"</t>
        </is>
      </c>
      <c r="G215" s="24" t="n"/>
      <c r="H215" s="25" t="n"/>
      <c r="I215" s="25" t="n"/>
      <c r="J215" s="26" t="n"/>
      <c r="K215" s="27" t="n"/>
      <c r="L215" s="26" t="n"/>
    </row>
    <row r="216">
      <c r="A216" s="24" t="n">
        <v>215</v>
      </c>
      <c r="B216" s="21" t="inlineStr">
        <is>
          <t>Staff Loket (role staff)</t>
        </is>
      </c>
      <c r="C216" s="24" t="inlineStr">
        <is>
          <t>STF-VT-06</t>
        </is>
      </c>
      <c r="D216" s="21" t="inlineStr">
        <is>
          <t>Salah jadwal</t>
        </is>
      </c>
      <c r="E216" s="21" t="inlineStr">
        <is>
          <t>Pilih jadwal lain lalu scan</t>
        </is>
      </c>
      <c r="F216" s="21" t="inlineStr">
        <is>
          <t>"Salah Jam Keberangkatan"</t>
        </is>
      </c>
      <c r="G216" s="24" t="n"/>
      <c r="H216" s="25" t="n"/>
      <c r="I216" s="25" t="n"/>
      <c r="J216" s="26" t="n"/>
      <c r="K216" s="27" t="n"/>
      <c r="L216" s="26" t="n"/>
    </row>
    <row r="217">
      <c r="A217" s="24" t="n">
        <v>216</v>
      </c>
      <c r="B217" s="21" t="inlineStr">
        <is>
          <t>Staff Loket (role staff)</t>
        </is>
      </c>
      <c r="C217" s="24" t="inlineStr">
        <is>
          <t>STF-VT-07</t>
        </is>
      </c>
      <c r="D217" s="21" t="inlineStr">
        <is>
          <t>Jadwal batal / armada sudah berangkat / trip selesai / tanggal lewat</t>
        </is>
      </c>
      <c r="E217" s="21" t="inlineStr">
        <is>
          <t>Sesuaikan data jadwal</t>
        </is>
      </c>
      <c r="F217" s="21" t="inlineStr">
        <is>
          <t>Pesan penolakan yang sesuai</t>
        </is>
      </c>
      <c r="G217" s="24" t="n"/>
      <c r="H217" s="25" t="n"/>
      <c r="I217" s="25" t="n"/>
      <c r="J217" s="26" t="n"/>
      <c r="K217" s="27" t="n"/>
      <c r="L217" s="26" t="n"/>
    </row>
    <row r="218">
      <c r="A218" s="24" t="n">
        <v>217</v>
      </c>
      <c r="B218" s="21" t="inlineStr">
        <is>
          <t>Staff Loket (role staff)</t>
        </is>
      </c>
      <c r="C218" s="24" t="inlineStr">
        <is>
          <t>STF-VT-08</t>
        </is>
      </c>
      <c r="D218" s="21" t="inlineStr">
        <is>
          <t>Penumpang sudah check-in mandiri</t>
        </is>
      </c>
      <c r="E218" s="21" t="inlineStr">
        <is>
          <t>Penumpang lakukan USR-TK-03, staf scan</t>
        </is>
      </c>
      <c r="F218" s="21" t="inlineStr">
        <is>
          <t>"Tiket Sudah Pernah Di-Scan", bukan "Belum Lunas" (BUG-17)</t>
        </is>
      </c>
      <c r="G218" s="28" t="inlineStr">
        <is>
          <t>BUG-17</t>
        </is>
      </c>
      <c r="H218" s="25" t="n"/>
      <c r="I218" s="25" t="n"/>
      <c r="J218" s="26" t="n"/>
      <c r="K218" s="27" t="n"/>
      <c r="L218" s="26" t="n"/>
    </row>
    <row r="219">
      <c r="A219" s="24" t="n">
        <v>218</v>
      </c>
      <c r="B219" s="21" t="inlineStr">
        <is>
          <t>Staff Loket (role staff)</t>
        </is>
      </c>
      <c r="C219" s="24" t="inlineStr">
        <is>
          <t>STF-VT-09</t>
        </is>
      </c>
      <c r="D219" s="21" t="inlineStr">
        <is>
          <t>Scan dua kali</t>
        </is>
      </c>
      <c r="E219" s="21" t="inlineStr">
        <is>
          <t>Scan tiket yang sama dua kali</t>
        </is>
      </c>
      <c r="F219" s="21" t="inlineStr">
        <is>
          <t>Scan kedua: "Sudah Pernah Di-Scan"</t>
        </is>
      </c>
      <c r="G219" s="24" t="n"/>
      <c r="H219" s="25" t="n"/>
      <c r="I219" s="25" t="n"/>
      <c r="J219" s="26" t="n"/>
      <c r="K219" s="27" t="n"/>
      <c r="L219" s="26" t="n"/>
    </row>
    <row r="220">
      <c r="A220" s="24" t="n">
        <v>219</v>
      </c>
      <c r="B220" s="21" t="inlineStr">
        <is>
          <t>Staff Loket (role staff)</t>
        </is>
      </c>
      <c r="C220" s="24" t="inlineStr">
        <is>
          <t>STF-VT-10</t>
        </is>
      </c>
      <c r="D220" s="21" t="inlineStr">
        <is>
          <t>Kode tidak ditemukan</t>
        </is>
      </c>
      <c r="E220" s="21" t="inlineStr">
        <is>
          <t>Kode acak</t>
        </is>
      </c>
      <c r="F220" s="21" t="inlineStr">
        <is>
          <t>404 "Tiket Tidak Ditemukan"</t>
        </is>
      </c>
      <c r="G220" s="24" t="n"/>
      <c r="H220" s="25" t="n"/>
      <c r="I220" s="25" t="n"/>
      <c r="J220" s="26" t="n"/>
      <c r="K220" s="27" t="n"/>
      <c r="L220" s="26" t="n"/>
    </row>
    <row r="221">
      <c r="A221" s="24" t="n">
        <v>220</v>
      </c>
      <c r="B221" s="21" t="inlineStr">
        <is>
          <t>Staff Loket (role staff)</t>
        </is>
      </c>
      <c r="C221" s="24" t="inlineStr">
        <is>
          <t>STF-VT-11</t>
        </is>
      </c>
      <c r="D221" s="21" t="inlineStr">
        <is>
          <t>Ubah status boarding penumpang</t>
        </is>
      </c>
      <c r="E221" s="21" t="inlineStr">
        <is>
          <t>belum_hadir → boarded → no_show</t>
        </is>
      </c>
      <c r="F221" s="21" t="inlineStr">
        <is>
          <t>Status penumpang &amp; tiket berubah</t>
        </is>
      </c>
      <c r="G221" s="24" t="n"/>
      <c r="H221" s="25" t="n"/>
      <c r="I221" s="25" t="n"/>
      <c r="J221" s="26" t="n"/>
      <c r="K221" s="27" t="n"/>
      <c r="L221" s="26" t="n"/>
    </row>
    <row r="222">
      <c r="A222" s="24" t="n">
        <v>221</v>
      </c>
      <c r="B222" s="21" t="inlineStr">
        <is>
          <t>Staff Loket (role staff)</t>
        </is>
      </c>
      <c r="C222" s="24" t="inlineStr">
        <is>
          <t>STF-VT-12</t>
        </is>
      </c>
      <c r="D222" s="21" t="inlineStr">
        <is>
          <t>ID penumpang tidak ada</t>
        </is>
      </c>
      <c r="E222" s="21" t="inlineStr">
        <is>
          <t>PATCH …/passenger/999999/status</t>
        </is>
      </c>
      <c r="F222" s="21" t="inlineStr">
        <is>
          <t>404 / success: false (BUG-17)</t>
        </is>
      </c>
      <c r="G222" s="28" t="inlineStr">
        <is>
          <t>BUG-17</t>
        </is>
      </c>
      <c r="H222" s="25" t="n"/>
      <c r="I222" s="25" t="n"/>
      <c r="J222" s="26" t="n"/>
      <c r="K222" s="27" t="n"/>
      <c r="L222" s="26" t="n"/>
    </row>
    <row r="223">
      <c r="A223" s="24" t="n">
        <v>222</v>
      </c>
      <c r="B223" s="21" t="inlineStr">
        <is>
          <t>Staff Loket (role staff)</t>
        </is>
      </c>
      <c r="C223" s="24" t="inlineStr">
        <is>
          <t>STF-VT-13</t>
        </is>
      </c>
      <c r="D223" s="21" t="inlineStr">
        <is>
          <t>Kode demo</t>
        </is>
      </c>
      <c r="E223" s="21" t="inlineStr">
        <is>
          <t>Scan TKV-UNPAID / TKV-7821-JKT</t>
        </is>
      </c>
      <c r="F223" s="21" t="inlineStr">
        <is>
          <t>Tidak boleh ada hasil palsu di production (BUG-17)</t>
        </is>
      </c>
      <c r="G223" s="28" t="inlineStr">
        <is>
          <t>BUG-17</t>
        </is>
      </c>
      <c r="H223" s="25" t="n"/>
      <c r="I223" s="25" t="n"/>
      <c r="J223" s="26" t="n"/>
      <c r="K223" s="27" t="n"/>
      <c r="L223" s="26" t="n"/>
    </row>
    <row r="224">
      <c r="A224" s="24" t="n">
        <v>223</v>
      </c>
      <c r="B224" s="21" t="inlineStr">
        <is>
          <t>Driver (role driver)</t>
        </is>
      </c>
      <c r="C224" s="24" t="inlineStr">
        <is>
          <t>DRV-01</t>
        </is>
      </c>
      <c r="D224" s="21" t="inlineStr">
        <is>
          <t>Halaman driver</t>
        </is>
      </c>
      <c r="E224" s="21" t="inlineStr">
        <is>
          <t>Buka dashboard, jadwal, kendaraan, daftar penumpang, seat map, rute, status, ubah status, info penumpang, lapor masalah, emergency, GPS, performa, reward, riwayat</t>
        </is>
      </c>
      <c r="F224" s="21" t="inlineStr">
        <is>
          <t>Semua 200 tanpa error</t>
        </is>
      </c>
      <c r="G224" s="24" t="n"/>
      <c r="H224" s="25" t="n"/>
      <c r="I224" s="25" t="n"/>
      <c r="J224" s="26" t="n"/>
      <c r="K224" s="27" t="n"/>
      <c r="L224" s="26" t="n"/>
    </row>
    <row r="225">
      <c r="A225" s="24" t="n">
        <v>224</v>
      </c>
      <c r="B225" s="21" t="inlineStr">
        <is>
          <t>Driver (role driver)</t>
        </is>
      </c>
      <c r="C225" s="24" t="inlineStr">
        <is>
          <t>DRV-02</t>
        </is>
      </c>
      <c r="D225" s="21" t="inlineStr">
        <is>
          <t>Driver tanpa jadwal</t>
        </is>
      </c>
      <c r="E225" s="21" t="inlineStr">
        <is>
          <t>Login driver tanpa jadwal</t>
        </is>
      </c>
      <c r="F225" s="21" t="inlineStr">
        <is>
          <t>Halaman tampil kosong dengan rapi, tanpa error</t>
        </is>
      </c>
      <c r="G225" s="24" t="n"/>
      <c r="H225" s="25" t="n"/>
      <c r="I225" s="25" t="n"/>
      <c r="J225" s="26" t="n"/>
      <c r="K225" s="27" t="n"/>
      <c r="L225" s="26" t="n"/>
    </row>
    <row r="226">
      <c r="A226" s="24" t="n">
        <v>225</v>
      </c>
      <c r="B226" s="21" t="inlineStr">
        <is>
          <t>Driver (role driver)</t>
        </is>
      </c>
      <c r="C226" s="24" t="inlineStr">
        <is>
          <t>DRV-03</t>
        </is>
      </c>
      <c r="D226" s="21" t="inlineStr">
        <is>
          <t>Mulai penjemputan</t>
        </is>
      </c>
      <c r="E226" s="21" t="inlineStr">
        <is>
          <t>Status pickup</t>
        </is>
      </c>
      <c r="F226" s="21" t="inlineStr">
        <is>
          <t>Jadwal Persiapan, driver on_duty, penumpang dapat notifikasi</t>
        </is>
      </c>
      <c r="G226" s="24" t="n"/>
      <c r="H226" s="25" t="n"/>
      <c r="I226" s="25" t="n"/>
      <c r="J226" s="26" t="n"/>
      <c r="K226" s="27" t="n"/>
      <c r="L226" s="26" t="n"/>
    </row>
    <row r="227">
      <c r="A227" s="24" t="n">
        <v>226</v>
      </c>
      <c r="B227" s="21" t="inlineStr">
        <is>
          <t>Driver (role driver)</t>
        </is>
      </c>
      <c r="C227" s="24" t="inlineStr">
        <is>
          <t>DRV-04</t>
        </is>
      </c>
      <c r="D227" s="21" t="inlineStr">
        <is>
          <t>Berangkat</t>
        </is>
      </c>
      <c r="E227" s="21" t="inlineStr">
        <is>
          <t>Status departed</t>
        </is>
      </c>
      <c r="F227" s="21" t="inlineStr">
        <is>
          <t>Jadwal Dalam Perjalanan, kendaraan beroperasi, notifikasi terkirim</t>
        </is>
      </c>
      <c r="G227" s="24" t="n"/>
      <c r="H227" s="25" t="n"/>
      <c r="I227" s="25" t="n"/>
      <c r="J227" s="26" t="n"/>
      <c r="K227" s="27" t="n"/>
      <c r="L227" s="26" t="n"/>
    </row>
    <row r="228">
      <c r="A228" s="24" t="n">
        <v>227</v>
      </c>
      <c r="B228" s="21" t="inlineStr">
        <is>
          <t>Driver (role driver)</t>
        </is>
      </c>
      <c r="C228" s="24" t="inlineStr">
        <is>
          <t>DRV-05</t>
        </is>
      </c>
      <c r="D228" s="21" t="inlineStr">
        <is>
          <t>Tiba</t>
        </is>
      </c>
      <c r="E228" s="21" t="inlineStr">
        <is>
          <t>Status arrived</t>
        </is>
      </c>
      <c r="F228" s="21" t="inlineStr">
        <is>
          <t>Jadwal Tiba di Tujuan</t>
        </is>
      </c>
      <c r="G228" s="24" t="n"/>
      <c r="H228" s="25" t="n"/>
      <c r="I228" s="25" t="n"/>
      <c r="J228" s="26" t="n"/>
      <c r="K228" s="27" t="n"/>
      <c r="L228" s="26" t="n"/>
    </row>
    <row r="229">
      <c r="A229" s="24" t="n">
        <v>228</v>
      </c>
      <c r="B229" s="21" t="inlineStr">
        <is>
          <t>Driver (role driver)</t>
        </is>
      </c>
      <c r="C229" s="24" t="inlineStr">
        <is>
          <t>DRV-06</t>
        </is>
      </c>
      <c r="D229" s="21" t="inlineStr">
        <is>
          <t>Selesai</t>
        </is>
      </c>
      <c r="E229" s="21" t="inlineStr">
        <is>
          <t>Status completed</t>
        </is>
      </c>
      <c r="F229" s="21" t="inlineStr">
        <is>
          <t>Jadwal Completed, driver standby, kendaraan siap_jalan, booking lunas jadi completed</t>
        </is>
      </c>
      <c r="G229" s="24" t="n"/>
      <c r="H229" s="25" t="n"/>
      <c r="I229" s="25" t="n"/>
      <c r="J229" s="26" t="n"/>
      <c r="K229" s="27" t="n"/>
      <c r="L229" s="26" t="n"/>
    </row>
    <row r="230">
      <c r="A230" s="24" t="n">
        <v>229</v>
      </c>
      <c r="B230" s="21" t="inlineStr">
        <is>
          <t>Driver (role driver)</t>
        </is>
      </c>
      <c r="C230" s="24" t="inlineStr">
        <is>
          <t>DRV-07</t>
        </is>
      </c>
      <c r="D230" s="21" t="inlineStr">
        <is>
          <t>Status tidak valid</t>
        </is>
      </c>
      <c r="E230" s="21" t="inlineStr">
        <is>
          <t>status=terbang</t>
        </is>
      </c>
      <c r="F230" s="21" t="inlineStr">
        <is>
          <t>Error validasi</t>
        </is>
      </c>
      <c r="G230" s="24" t="n"/>
      <c r="H230" s="25" t="n"/>
      <c r="I230" s="25" t="n"/>
      <c r="J230" s="26" t="n"/>
      <c r="K230" s="27" t="n"/>
      <c r="L230" s="26" t="n"/>
    </row>
    <row r="231">
      <c r="A231" s="24" t="n">
        <v>230</v>
      </c>
      <c r="B231" s="21" t="inlineStr">
        <is>
          <t>Driver (role driver)</t>
        </is>
      </c>
      <c r="C231" s="24" t="inlineStr">
        <is>
          <t>DRV-08</t>
        </is>
      </c>
      <c r="D231" s="21" t="inlineStr">
        <is>
          <t>Lompat status</t>
        </is>
      </c>
      <c r="E231" s="21" t="inlineStr">
        <is>
          <t>Langsung completed dari jadwal yang belum dijemput</t>
        </is>
      </c>
      <c r="F231" s="21" t="inlineStr">
        <is>
          <t>Ditolak (BUG-18)</t>
        </is>
      </c>
      <c r="G231" s="28" t="inlineStr">
        <is>
          <t>BUG-18</t>
        </is>
      </c>
      <c r="H231" s="25" t="n"/>
      <c r="I231" s="25" t="n"/>
      <c r="J231" s="26" t="n"/>
      <c r="K231" s="27" t="n"/>
      <c r="L231" s="26" t="n"/>
    </row>
    <row r="232">
      <c r="A232" s="24" t="n">
        <v>231</v>
      </c>
      <c r="B232" s="21" t="inlineStr">
        <is>
          <t>Driver (role driver)</t>
        </is>
      </c>
      <c r="C232" s="24" t="inlineStr">
        <is>
          <t>DRV-09</t>
        </is>
      </c>
      <c r="D232" s="21" t="inlineStr">
        <is>
          <t>Selesai dengan booking belum bayar</t>
        </is>
      </c>
      <c r="E232" s="21" t="inlineStr">
        <is>
          <t>Jadwal punya booking pending</t>
        </is>
      </c>
      <c r="F232" s="21" t="inlineStr">
        <is>
          <t>Booking pending tidak jadi completed (BUG-18)</t>
        </is>
      </c>
      <c r="G232" s="28" t="inlineStr">
        <is>
          <t>BUG-18</t>
        </is>
      </c>
      <c r="H232" s="25" t="n"/>
      <c r="I232" s="25" t="n"/>
      <c r="J232" s="26" t="n"/>
      <c r="K232" s="27" t="n"/>
      <c r="L232" s="26" t="n"/>
    </row>
    <row r="233">
      <c r="A233" s="24" t="n">
        <v>232</v>
      </c>
      <c r="B233" s="21" t="inlineStr">
        <is>
          <t>Driver (role driver)</t>
        </is>
      </c>
      <c r="C233" s="24" t="inlineStr">
        <is>
          <t>DRV-10</t>
        </is>
      </c>
      <c r="D233" s="21" t="inlineStr">
        <is>
          <t>Update GPS</t>
        </is>
      </c>
      <c r="E233" s="21" t="inlineStr">
        <is>
          <t>Kirim lat/lng</t>
        </is>
      </c>
      <c r="F233" s="21" t="inlineStr">
        <is>
          <t>Koordinat &amp; last_gps_at tersimpan</t>
        </is>
      </c>
      <c r="G233" s="24" t="n"/>
      <c r="H233" s="25" t="n"/>
      <c r="I233" s="25" t="n"/>
      <c r="J233" s="26" t="n"/>
      <c r="K233" s="27" t="n"/>
      <c r="L233" s="26" t="n"/>
    </row>
    <row r="234">
      <c r="A234" s="24" t="n">
        <v>233</v>
      </c>
      <c r="B234" s="21" t="inlineStr">
        <is>
          <t>Driver (role driver)</t>
        </is>
      </c>
      <c r="C234" s="24" t="inlineStr">
        <is>
          <t>DRV-11</t>
        </is>
      </c>
      <c r="D234" s="21" t="inlineStr">
        <is>
          <t>Check-in penumpang</t>
        </is>
      </c>
      <c r="E234" s="21" t="inlineStr">
        <is>
          <t>boarded / belum_hadir</t>
        </is>
      </c>
      <c r="F234" s="21" t="inlineStr">
        <is>
          <t>Status penumpang berubah</t>
        </is>
      </c>
      <c r="G234" s="24" t="n"/>
      <c r="H234" s="25" t="n"/>
      <c r="I234" s="25" t="n"/>
      <c r="J234" s="26" t="n"/>
      <c r="K234" s="27" t="n"/>
      <c r="L234" s="26" t="n"/>
    </row>
    <row r="235">
      <c r="A235" s="24" t="n">
        <v>234</v>
      </c>
      <c r="B235" s="21" t="inlineStr">
        <is>
          <t>Driver (role driver)</t>
        </is>
      </c>
      <c r="C235" s="24" t="inlineStr">
        <is>
          <t>DRV-12</t>
        </is>
      </c>
      <c r="D235" s="21" t="inlineStr">
        <is>
          <t>Aksi di jadwal driver lain</t>
        </is>
      </c>
      <c r="E235" s="21" t="inlineStr">
        <is>
          <t>Login driver.bambang, kirim status/GPS/insiden/SOS ke jadwal driver@</t>
        </is>
      </c>
      <c r="F235" s="21" t="inlineStr">
        <is>
          <t>403 (BUG-06)</t>
        </is>
      </c>
      <c r="G235" s="28" t="inlineStr">
        <is>
          <t>BUG-06</t>
        </is>
      </c>
      <c r="H235" s="25" t="n"/>
      <c r="I235" s="25" t="n"/>
      <c r="J235" s="26" t="n"/>
      <c r="K235" s="27" t="n"/>
      <c r="L235" s="26" t="n"/>
    </row>
    <row r="236">
      <c r="A236" s="24" t="n">
        <v>235</v>
      </c>
      <c r="B236" s="21" t="inlineStr">
        <is>
          <t>Driver (role driver)</t>
        </is>
      </c>
      <c r="C236" s="24" t="inlineStr">
        <is>
          <t>DRV-13</t>
        </is>
      </c>
      <c r="D236" s="21" t="inlineStr">
        <is>
          <t>Tandai lunas tunai</t>
        </is>
      </c>
      <c r="E236" s="21" t="inlineStr">
        <is>
          <t>mark_paid=1 untuk penumpang booking online pending di jadwal lain</t>
        </is>
      </c>
      <c r="F236" s="21" t="inlineStr">
        <is>
          <t>Ditolak (BUG-06)</t>
        </is>
      </c>
      <c r="G236" s="28" t="inlineStr">
        <is>
          <t>BUG-06</t>
        </is>
      </c>
      <c r="H236" s="25" t="n"/>
      <c r="I236" s="25" t="n"/>
      <c r="J236" s="26" t="n"/>
      <c r="K236" s="27" t="n"/>
      <c r="L236" s="26" t="n"/>
    </row>
    <row r="237">
      <c r="A237" s="24" t="n">
        <v>236</v>
      </c>
      <c r="B237" s="21" t="inlineStr">
        <is>
          <t>Driver (role driver)</t>
        </is>
      </c>
      <c r="C237" s="24" t="inlineStr">
        <is>
          <t>DRV-14</t>
        </is>
      </c>
      <c r="D237" s="21" t="inlineStr">
        <is>
          <t>Lapor masalah</t>
        </is>
      </c>
      <c r="E237" s="21" t="inlineStr">
        <is>
          <t>Kategori ban_bocor, severity sedang, deskripsi</t>
        </is>
      </c>
      <c r="F237" s="21" t="inlineStr">
        <is>
          <t>Insiden tercatat</t>
        </is>
      </c>
      <c r="G237" s="24" t="n"/>
      <c r="H237" s="25" t="n"/>
      <c r="I237" s="25" t="n"/>
      <c r="J237" s="26" t="n"/>
      <c r="K237" s="27" t="n"/>
      <c r="L237" s="26" t="n"/>
    </row>
    <row r="238">
      <c r="A238" s="24" t="n">
        <v>237</v>
      </c>
      <c r="B238" s="21" t="inlineStr">
        <is>
          <t>Driver (role driver)</t>
        </is>
      </c>
      <c r="C238" s="24" t="inlineStr">
        <is>
          <t>DRV-15</t>
        </is>
      </c>
      <c r="D238" s="21" t="inlineStr">
        <is>
          <t>Lapor macet parah</t>
        </is>
      </c>
      <c r="E238" s="21" t="inlineStr">
        <is>
          <t>Kategori macet_parah</t>
        </is>
      </c>
      <c r="F238" s="21" t="inlineStr">
        <is>
          <t>Penumpang dapat notifikasi keterlambatan</t>
        </is>
      </c>
      <c r="G238" s="24" t="n"/>
      <c r="H238" s="25" t="n"/>
      <c r="I238" s="25" t="n"/>
      <c r="J238" s="26" t="n"/>
      <c r="K238" s="27" t="n"/>
      <c r="L238" s="26" t="n"/>
    </row>
    <row r="239">
      <c r="A239" s="24" t="n">
        <v>238</v>
      </c>
      <c r="B239" s="21" t="inlineStr">
        <is>
          <t>Driver (role driver)</t>
        </is>
      </c>
      <c r="C239" s="24" t="inlineStr">
        <is>
          <t>DRV-16</t>
        </is>
      </c>
      <c r="D239" s="21" t="inlineStr">
        <is>
          <t>Validasi laporan</t>
        </is>
      </c>
      <c r="E239" s="21" t="inlineStr">
        <is>
          <t>Kategori/severity tidak dikenal, deskripsi kosong / &gt; 1000</t>
        </is>
      </c>
      <c r="F239" s="21" t="inlineStr">
        <is>
          <t>Error validasi</t>
        </is>
      </c>
      <c r="G239" s="24" t="n"/>
      <c r="H239" s="25" t="n"/>
      <c r="I239" s="25" t="n"/>
      <c r="J239" s="26" t="n"/>
      <c r="K239" s="27" t="n"/>
      <c r="L239" s="26" t="n"/>
    </row>
    <row r="240">
      <c r="A240" s="24" t="n">
        <v>239</v>
      </c>
      <c r="B240" s="21" t="inlineStr">
        <is>
          <t>Driver (role driver)</t>
        </is>
      </c>
      <c r="C240" s="24" t="inlineStr">
        <is>
          <t>DRV-17</t>
        </is>
      </c>
      <c r="D240" s="21" t="inlineStr">
        <is>
          <t>SOS</t>
        </is>
      </c>
      <c r="E240" s="21" t="inlineStr">
        <is>
          <t>Tekan tombol darurat</t>
        </is>
      </c>
      <c r="F240" s="21" t="inlineStr">
        <is>
          <t>Insiden sos_emergency tercatat, kontak darurat tampil, log emergency tertulis</t>
        </is>
      </c>
      <c r="G240" s="24" t="n"/>
      <c r="H240" s="25" t="n"/>
      <c r="I240" s="25" t="n"/>
      <c r="J240" s="26" t="n"/>
      <c r="K240" s="27" t="n"/>
      <c r="L240" s="26" t="n"/>
    </row>
    <row r="241">
      <c r="A241" s="24" t="n">
        <v>240</v>
      </c>
      <c r="B241" s="21" t="inlineStr">
        <is>
          <t>Customer Service (role cs)</t>
        </is>
      </c>
      <c r="C241" s="24" t="inlineStr">
        <is>
          <t>CS-01</t>
        </is>
      </c>
      <c r="D241" s="21" t="inlineStr">
        <is>
          <t>Dashboard</t>
        </is>
      </c>
      <c r="E241" s="21" t="inlineStr">
        <is>
          <t>/customer-service/dashboard</t>
        </is>
      </c>
      <c r="F241" s="21" t="inlineStr">
        <is>
          <t>Keberangkatan hari ini, pembayaran pending, refund pending tampil</t>
        </is>
      </c>
      <c r="G241" s="24" t="n"/>
      <c r="H241" s="25" t="n"/>
      <c r="I241" s="25" t="n"/>
      <c r="J241" s="26" t="n"/>
      <c r="K241" s="27" t="n"/>
      <c r="L241" s="26" t="n"/>
    </row>
    <row r="242">
      <c r="A242" s="24" t="n">
        <v>241</v>
      </c>
      <c r="B242" s="21" t="inlineStr">
        <is>
          <t>Customer Service (role cs)</t>
        </is>
      </c>
      <c r="C242" s="24" t="inlineStr">
        <is>
          <t>CS-02</t>
        </is>
      </c>
      <c r="D242" s="21" t="inlineStr">
        <is>
          <t>Cari booking</t>
        </is>
      </c>
      <c r="E242" s="21" t="inlineStr">
        <is>
          <t>Cari dengan kode booking, nomor tiket, nama/email/HP pemesan atau penumpang</t>
        </is>
      </c>
      <c r="F242" s="21" t="inlineStr">
        <is>
          <t>Hasil ditemukan untuk tiap jenis kata kunci</t>
        </is>
      </c>
      <c r="G242" s="24" t="n"/>
      <c r="H242" s="25" t="n"/>
      <c r="I242" s="25" t="n"/>
      <c r="J242" s="26" t="n"/>
      <c r="K242" s="27" t="n"/>
      <c r="L242" s="26" t="n"/>
    </row>
    <row r="243">
      <c r="A243" s="24" t="n">
        <v>242</v>
      </c>
      <c r="B243" s="21" t="inlineStr">
        <is>
          <t>Customer Service (role cs)</t>
        </is>
      </c>
      <c r="C243" s="24" t="inlineStr">
        <is>
          <t>CS-03</t>
        </is>
      </c>
      <c r="D243" s="21" t="inlineStr">
        <is>
          <t>Counter refund pending</t>
        </is>
      </c>
      <c r="E243" s="21" t="inlineStr">
        <is>
          <t>Penumpang ajukan refund, admin buat refund Menunggu</t>
        </is>
      </c>
      <c r="F243" s="21" t="inlineStr">
        <is>
          <t>Counter menghitung keduanya. Saat ini selalu 0 (BUG-09)</t>
        </is>
      </c>
      <c r="G243" s="28" t="inlineStr">
        <is>
          <t>BUG-09</t>
        </is>
      </c>
      <c r="H243" s="25" t="n"/>
      <c r="I243" s="25" t="n"/>
      <c r="J243" s="26" t="n"/>
      <c r="K243" s="27" t="n"/>
      <c r="L243" s="26" t="n"/>
    </row>
    <row r="244">
      <c r="A244" s="24" t="n">
        <v>243</v>
      </c>
      <c r="B244" s="21" t="inlineStr">
        <is>
          <t>Customer Service (role cs)</t>
        </is>
      </c>
      <c r="C244" s="24" t="inlineStr">
        <is>
          <t>CS-04</t>
        </is>
      </c>
      <c r="D244" s="21" t="inlineStr">
        <is>
          <t>Halaman CS lain</t>
        </is>
      </c>
      <c r="E244" s="21" t="inlineStr">
        <is>
          <t>Live chat, konteks booking, riwayat chat, kirim file, eskalasi</t>
        </is>
      </c>
      <c r="F244" s="21" t="inlineStr">
        <is>
          <t>Semua 200</t>
        </is>
      </c>
      <c r="G244" s="24" t="n"/>
      <c r="H244" s="25" t="n"/>
      <c r="I244" s="25" t="n"/>
      <c r="J244" s="26" t="n"/>
      <c r="K244" s="27" t="n"/>
      <c r="L244" s="26" t="n"/>
    </row>
    <row r="245">
      <c r="A245" s="24" t="n">
        <v>244</v>
      </c>
      <c r="B245" s="21" t="inlineStr">
        <is>
          <t>Customer Service (role cs)</t>
        </is>
      </c>
      <c r="C245" s="24" t="inlineStr">
        <is>
          <t>CS-05</t>
        </is>
      </c>
      <c r="D245" s="21" t="inlineStr">
        <is>
          <t>Fungsi live chat/kirim file/eskalasi</t>
        </is>
      </c>
      <c r="E245" s="21" t="inlineStr">
        <is>
          <t>Coba kirim pesan / file / eskalasi</t>
        </is>
      </c>
      <c r="F245" s="21" t="inlineStr">
        <is>
          <t>Catatan: halaman ini masih statis (tidak ada endpoint simpan). Tentukan apakah memang mockup</t>
        </is>
      </c>
      <c r="G245" s="24" t="n"/>
      <c r="H245" s="25" t="n"/>
      <c r="I245" s="25" t="n"/>
      <c r="J245" s="26" t="n"/>
      <c r="K245" s="27" t="n"/>
      <c r="L245" s="26" t="n"/>
    </row>
    <row r="246">
      <c r="A246" s="24" t="n">
        <v>245</v>
      </c>
      <c r="B246" s="21" t="inlineStr">
        <is>
          <t>Payment gateway &amp; API</t>
        </is>
      </c>
      <c r="C246" s="24" t="inlineStr">
        <is>
          <t>PAY-01</t>
        </is>
      </c>
      <c r="D246" s="21" t="inlineStr">
        <is>
          <t>Daftar kanal</t>
        </is>
      </c>
      <c r="E246" s="21" t="inlineStr">
        <is>
          <t>GET /api/payment/channels</t>
        </is>
      </c>
      <c r="F246" s="21" t="inlineStr">
        <is>
          <t>JSON daftar kanal</t>
        </is>
      </c>
      <c r="G246" s="24" t="n"/>
      <c r="H246" s="25" t="n"/>
      <c r="I246" s="25" t="n"/>
      <c r="J246" s="26" t="n"/>
      <c r="K246" s="27" t="n"/>
      <c r="L246" s="26" t="n"/>
    </row>
    <row r="247">
      <c r="A247" s="24" t="n">
        <v>246</v>
      </c>
      <c r="B247" s="21" t="inlineStr">
        <is>
          <t>Payment gateway &amp; API</t>
        </is>
      </c>
      <c r="C247" s="24" t="inlineStr">
        <is>
          <t>PAY-02</t>
        </is>
      </c>
      <c r="D247" s="21" t="inlineStr">
        <is>
          <t>Charge dari sesi pemilik</t>
        </is>
      </c>
      <c r="E247" s="21" t="inlineStr">
        <is>
          <t>POST /api/payment/charge {booking_id, payment_channel}</t>
        </is>
      </c>
      <c r="F247" s="21" t="inlineStr">
        <is>
          <t>Data VA/QR dikembalikan</t>
        </is>
      </c>
      <c r="G247" s="24" t="n"/>
      <c r="H247" s="25" t="n"/>
      <c r="I247" s="25" t="n"/>
      <c r="J247" s="26" t="n"/>
      <c r="K247" s="27" t="n"/>
      <c r="L247" s="26" t="n"/>
    </row>
    <row r="248">
      <c r="A248" s="24" t="n">
        <v>247</v>
      </c>
      <c r="B248" s="21" t="inlineStr">
        <is>
          <t>Payment gateway &amp; API</t>
        </is>
      </c>
      <c r="C248" s="24" t="inlineStr">
        <is>
          <t>PAY-03</t>
        </is>
      </c>
      <c r="D248" s="21" t="inlineStr">
        <is>
          <t>Charge booking orang lain</t>
        </is>
      </c>
      <c r="E248" s="21" t="inlineStr">
        <is>
          <t>Sesi lain</t>
        </is>
      </c>
      <c r="F248" s="21" t="inlineStr">
        <is>
          <t>403 Forbidden</t>
        </is>
      </c>
      <c r="G248" s="24" t="n"/>
      <c r="H248" s="25" t="n"/>
      <c r="I248" s="25" t="n"/>
      <c r="J248" s="26" t="n"/>
      <c r="K248" s="27" t="n"/>
      <c r="L248" s="26" t="n"/>
    </row>
    <row r="249">
      <c r="A249" s="24" t="n">
        <v>248</v>
      </c>
      <c r="B249" s="21" t="inlineStr">
        <is>
          <t>Payment gateway &amp; API</t>
        </is>
      </c>
      <c r="C249" s="24" t="inlineStr">
        <is>
          <t>PAY-04</t>
        </is>
      </c>
      <c r="D249" s="21" t="inlineStr">
        <is>
          <t>Webhook settlement bertanda tangan valid</t>
        </is>
      </c>
      <c r="E249" s="21" t="inlineStr">
        <is>
          <t>Signature SHA512 benar</t>
        </is>
      </c>
      <c r="F249" s="21" t="inlineStr">
        <is>
          <t>Booking confirmed, tiket &amp; email terbit 1x</t>
        </is>
      </c>
      <c r="G249" s="24" t="n"/>
      <c r="H249" s="25" t="n"/>
      <c r="I249" s="25" t="n"/>
      <c r="J249" s="26" t="n"/>
      <c r="K249" s="27" t="n"/>
      <c r="L249" s="26" t="n"/>
    </row>
    <row r="250">
      <c r="A250" s="24" t="n">
        <v>249</v>
      </c>
      <c r="B250" s="21" t="inlineStr">
        <is>
          <t>Payment gateway &amp; API</t>
        </is>
      </c>
      <c r="C250" s="24" t="inlineStr">
        <is>
          <t>PAY-05</t>
        </is>
      </c>
      <c r="D250" s="21" t="inlineStr">
        <is>
          <t>Webhook tanpa signature</t>
        </is>
      </c>
      <c r="E250" s="21" t="inlineStr">
        <is>
          <t>POST /api/payment/webhook {"order_id":"&lt;order pending&gt;"}</t>
        </is>
      </c>
      <c r="F250" s="21" t="inlineStr">
        <is>
          <t>Ditolak 403. Saat ini booking menjadi lunas (BUG-01)</t>
        </is>
      </c>
      <c r="G250" s="28" t="inlineStr">
        <is>
          <t>BUG-01</t>
        </is>
      </c>
      <c r="H250" s="25" t="n"/>
      <c r="I250" s="25" t="n"/>
      <c r="J250" s="26" t="n"/>
      <c r="K250" s="27" t="n"/>
      <c r="L250" s="26" t="n"/>
    </row>
    <row r="251">
      <c r="A251" s="24" t="n">
        <v>250</v>
      </c>
      <c r="B251" s="21" t="inlineStr">
        <is>
          <t>Payment gateway &amp; API</t>
        </is>
      </c>
      <c r="C251" s="24" t="inlineStr">
        <is>
          <t>PAY-06</t>
        </is>
      </c>
      <c r="D251" s="21" t="inlineStr">
        <is>
          <t>Webhook signature salah</t>
        </is>
      </c>
      <c r="E251" s="21" t="inlineStr">
        <is>
          <t>signature_key acak</t>
        </is>
      </c>
      <c r="F251" s="21" t="inlineStr">
        <is>
          <t>403 Invalid signature</t>
        </is>
      </c>
      <c r="G251" s="28" t="n"/>
      <c r="H251" s="25" t="n"/>
      <c r="I251" s="25" t="n"/>
      <c r="J251" s="26" t="n"/>
      <c r="K251" s="27" t="n"/>
      <c r="L251" s="26" t="n"/>
    </row>
    <row r="252">
      <c r="A252" s="24" t="n">
        <v>251</v>
      </c>
      <c r="B252" s="21" t="inlineStr">
        <is>
          <t>Payment gateway &amp; API</t>
        </is>
      </c>
      <c r="C252" s="24" t="inlineStr">
        <is>
          <t>PAY-07</t>
        </is>
      </c>
      <c r="D252" s="21" t="inlineStr">
        <is>
          <t>Webhook expire</t>
        </is>
      </c>
      <c r="E252" s="21" t="inlineStr">
        <is>
          <t>transaction_status=expire</t>
        </is>
      </c>
      <c r="F252" s="21" t="inlineStr">
        <is>
          <t>Booking batal, kursi lepas, notifikasi terkirim</t>
        </is>
      </c>
      <c r="G252" s="24" t="n"/>
      <c r="H252" s="25" t="n"/>
      <c r="I252" s="25" t="n"/>
      <c r="J252" s="26" t="n"/>
      <c r="K252" s="27" t="n"/>
      <c r="L252" s="26" t="n"/>
    </row>
    <row r="253">
      <c r="A253" s="24" t="n">
        <v>252</v>
      </c>
      <c r="B253" s="21" t="inlineStr">
        <is>
          <t>Payment gateway &amp; API</t>
        </is>
      </c>
      <c r="C253" s="24" t="inlineStr">
        <is>
          <t>PAY-08</t>
        </is>
      </c>
      <c r="D253" s="21" t="inlineStr">
        <is>
          <t>Webhook order tidak dikenal / tanpa order_id</t>
        </is>
      </c>
      <c r="E253" s="21" t="inlineStr"/>
      <c r="F253" s="21" t="inlineStr">
        <is>
          <t>404 / 400</t>
        </is>
      </c>
      <c r="G253" s="24" t="n"/>
      <c r="H253" s="25" t="n"/>
      <c r="I253" s="25" t="n"/>
      <c r="J253" s="26" t="n"/>
      <c r="K253" s="27" t="n"/>
      <c r="L253" s="26" t="n"/>
    </row>
    <row r="254">
      <c r="A254" s="24" t="n">
        <v>253</v>
      </c>
      <c r="B254" s="21" t="inlineStr">
        <is>
          <t>Payment gateway &amp; API</t>
        </is>
      </c>
      <c r="C254" s="24" t="inlineStr">
        <is>
          <t>PAY-09</t>
        </is>
      </c>
      <c r="D254" s="21" t="inlineStr">
        <is>
          <t>Webhook dikirim dua kali</t>
        </is>
      </c>
      <c r="E254" s="21" t="inlineStr">
        <is>
          <t>Kirim settlement 2x</t>
        </is>
      </c>
      <c r="F254" s="21" t="inlineStr">
        <is>
          <t>Tiket &amp; email hanya terbit sekali</t>
        </is>
      </c>
      <c r="G254" s="24" t="n"/>
      <c r="H254" s="25" t="n"/>
      <c r="I254" s="25" t="n"/>
      <c r="J254" s="26" t="n"/>
      <c r="K254" s="27" t="n"/>
      <c r="L254" s="26" t="n"/>
    </row>
    <row r="255">
      <c r="A255" s="24" t="n">
        <v>254</v>
      </c>
      <c r="B255" s="21" t="inlineStr">
        <is>
          <t>Skenario lintas role (end-to-end)</t>
        </is>
      </c>
      <c r="C255" s="24" t="inlineStr">
        <is>
          <t>X-01</t>
        </is>
      </c>
      <c r="D255" s="21" t="inlineStr">
        <is>
          <t>Alur normal</t>
        </is>
      </c>
      <c r="E255" s="21" t="inlineStr">
        <is>
          <t>Admin buat jadwal → penumpang pesan &amp; bayar → staf scan tiket → driver pickup → departed → arrived → completed → penumpang beri ulasan</t>
        </is>
      </c>
      <c r="F255" s="21" t="inlineStr">
        <is>
          <t>Semua status konsisten, ulasan tampil di landing page</t>
        </is>
      </c>
      <c r="G255" s="24" t="n"/>
      <c r="H255" s="25" t="n"/>
      <c r="I255" s="25" t="n"/>
      <c r="J255" s="26" t="n"/>
      <c r="K255" s="27" t="n"/>
      <c r="L255" s="26" t="n"/>
    </row>
    <row r="256">
      <c r="A256" s="24" t="n">
        <v>255</v>
      </c>
      <c r="B256" s="21" t="inlineStr">
        <is>
          <t>Skenario lintas role (end-to-end)</t>
        </is>
      </c>
      <c r="C256" s="24" t="inlineStr">
        <is>
          <t>X-02</t>
        </is>
      </c>
      <c r="D256" s="21" t="inlineStr">
        <is>
          <t>Alur refund</t>
        </is>
      </c>
      <c r="E256" s="21" t="inlineStr">
        <is>
          <t>Penumpang bayar → ajukan refund → admin approve → staf scan tiket</t>
        </is>
      </c>
      <c r="F256" s="21" t="inlineStr">
        <is>
          <t>Staf melihat "Tiket Telah Dibatalkan/Di-refund", kursi bisa dipesan lagi</t>
        </is>
      </c>
      <c r="G256" s="24" t="n"/>
      <c r="H256" s="25" t="n"/>
      <c r="I256" s="25" t="n"/>
      <c r="J256" s="26" t="n"/>
      <c r="K256" s="27" t="n"/>
      <c r="L256" s="26" t="n"/>
    </row>
    <row r="257">
      <c r="A257" s="24" t="n">
        <v>256</v>
      </c>
      <c r="B257" s="21" t="inlineStr">
        <is>
          <t>Skenario lintas role (end-to-end)</t>
        </is>
      </c>
      <c r="C257" s="24" t="inlineStr">
        <is>
          <t>X-03</t>
        </is>
      </c>
      <c r="D257" s="21" t="inlineStr">
        <is>
          <t>Double booking setelah check-in</t>
        </is>
      </c>
      <c r="E257" s="21" t="inlineStr">
        <is>
          <t>Penumpang A bayar &amp; check-in mandiri → penumpang B memilih kursi A</t>
        </is>
      </c>
      <c r="F257" s="21" t="inlineStr">
        <is>
          <t>Kursi A tidak bisa dipilih (BUG-05)</t>
        </is>
      </c>
      <c r="G257" s="28" t="inlineStr">
        <is>
          <t>BUG-05</t>
        </is>
      </c>
      <c r="H257" s="25" t="n"/>
      <c r="I257" s="25" t="n"/>
      <c r="J257" s="26" t="n"/>
      <c r="K257" s="27" t="n"/>
      <c r="L257" s="26" t="n"/>
    </row>
    <row r="258">
      <c r="A258" s="24" t="n">
        <v>257</v>
      </c>
      <c r="B258" s="21" t="inlineStr">
        <is>
          <t>Skenario lintas role (end-to-end)</t>
        </is>
      </c>
      <c r="C258" s="24" t="inlineStr">
        <is>
          <t>X-04</t>
        </is>
      </c>
      <c r="D258" s="21" t="inlineStr">
        <is>
          <t>Booking loket vs online</t>
        </is>
      </c>
      <c r="E258" s="21" t="inlineStr">
        <is>
          <t>Staf/admin buat booking manual pending kursi 2A → penumpang online buka seat map</t>
        </is>
      </c>
      <c r="F258" s="21" t="inlineStr">
        <is>
          <t>Kursi 2A terisi/terkunci (cek BUG-05 untuk status kapital)</t>
        </is>
      </c>
      <c r="G258" s="24" t="inlineStr">
        <is>
          <t>BUG-05</t>
        </is>
      </c>
      <c r="H258" s="25" t="n"/>
      <c r="I258" s="25" t="n"/>
      <c r="J258" s="26" t="n"/>
      <c r="K258" s="27" t="n"/>
      <c r="L258" s="26" t="n"/>
    </row>
    <row r="259">
      <c r="A259" s="24" t="n">
        <v>258</v>
      </c>
      <c r="B259" s="21" t="inlineStr">
        <is>
          <t>Skenario lintas role (end-to-end)</t>
        </is>
      </c>
      <c r="C259" s="24" t="inlineStr">
        <is>
          <t>X-05</t>
        </is>
      </c>
      <c r="D259" s="21" t="inlineStr">
        <is>
          <t>Reschedule lalu scan</t>
        </is>
      </c>
      <c r="E259" s="21" t="inlineStr">
        <is>
          <t>Admin reschedule booking → staf scan tiket di jadwal lama dan jadwal baru</t>
        </is>
      </c>
      <c r="F259" s="21" t="inlineStr">
        <is>
          <t>Jadwal lama: salah jadwal; jadwal baru: valid</t>
        </is>
      </c>
      <c r="G259" s="24" t="n"/>
      <c r="H259" s="25" t="n"/>
      <c r="I259" s="25" t="n"/>
      <c r="J259" s="26" t="n"/>
      <c r="K259" s="27" t="n"/>
      <c r="L259" s="26" t="n"/>
    </row>
    <row r="260">
      <c r="A260" s="24" t="n">
        <v>259</v>
      </c>
      <c r="B260" s="21" t="inlineStr">
        <is>
          <t>Skenario lintas role (end-to-end)</t>
        </is>
      </c>
      <c r="C260" s="24" t="inlineStr">
        <is>
          <t>X-06</t>
        </is>
      </c>
      <c r="D260" s="21" t="inlineStr">
        <is>
          <t>Blokir akun aktif</t>
        </is>
      </c>
      <c r="E260" s="21" t="inlineStr">
        <is>
          <t>User sedang login, admin memblokir</t>
        </is>
      </c>
      <c r="F260" s="21" t="inlineStr">
        <is>
          <t>Sesi berikutnya ditolak (BUG-02)</t>
        </is>
      </c>
      <c r="G260" s="24" t="inlineStr">
        <is>
          <t>BUG-02</t>
        </is>
      </c>
      <c r="H260" s="25" t="n"/>
      <c r="I260" s="25" t="n"/>
      <c r="J260" s="26" t="n"/>
      <c r="K260" s="27" t="n"/>
      <c r="L260" s="26" t="n"/>
    </row>
    <row r="261">
      <c r="A261" s="24" t="n">
        <v>260</v>
      </c>
      <c r="B261" s="21" t="inlineStr">
        <is>
          <t>Skenario lintas role (end-to-end)</t>
        </is>
      </c>
      <c r="C261" s="24" t="inlineStr">
        <is>
          <t>X-07</t>
        </is>
      </c>
      <c r="D261" s="21" t="inlineStr">
        <is>
          <t>Batal jadwal oleh admin</t>
        </is>
      </c>
      <c r="E261" s="21" t="inlineStr">
        <is>
          <t>Jadwal punya penumpang lunas → admin set Cancelled → penumpang &amp; staf cek tiket</t>
        </is>
      </c>
      <c r="F261" s="21" t="inlineStr">
        <is>
          <t>Penumpang diberi tahu, staf melihat "Jadwal Trip Dibatalkan" (BUG-14)</t>
        </is>
      </c>
      <c r="G261" s="24" t="inlineStr">
        <is>
          <t>BUG-14</t>
        </is>
      </c>
      <c r="H261" s="25" t="n"/>
      <c r="I261" s="25" t="n"/>
      <c r="J261" s="26" t="n"/>
      <c r="K261" s="27" t="n"/>
      <c r="L261" s="26" t="n"/>
    </row>
  </sheetData>
  <autoFilter ref="A1:L261"/>
  <conditionalFormatting sqref="I2:I261">
    <cfRule type="expression" priority="1" dxfId="0">
      <formula>$I2="PASS"</formula>
    </cfRule>
    <cfRule type="expression" priority="2" dxfId="1">
      <formula>$I2="FAIL"</formula>
    </cfRule>
    <cfRule type="expression" priority="3" dxfId="2">
      <formula>$I2="BLOCKED"</formula>
    </cfRule>
  </conditionalFormatting>
  <conditionalFormatting sqref="H2:H261">
    <cfRule type="expression" priority="4" dxfId="3">
      <formula>$H2="✔"</formula>
    </cfRule>
  </conditionalFormatting>
  <dataValidations count="3">
    <dataValidation sqref="H2:H261" showDropDown="0" showInputMessage="0" showErrorMessage="0" allowBlank="1" promptTitle="Sudah Dicek" prompt="Pilih ✔ jika test case sudah dijalankan" type="list">
      <formula1>"✔"</formula1>
    </dataValidation>
    <dataValidation sqref="I2:I261" showDropDown="0" showInputMessage="0" showErrorMessage="0" allowBlank="1" promptTitle="Hasil" prompt="PASS = sesuai harapan, FAIL = tidak sesuai, BLOCKED = tidak bisa diuji" type="list">
      <formula1>"PASS,FAIL,BLOCKED"</formula1>
    </dataValidation>
    <dataValidation sqref="K2:K261" showDropDown="0" showInputMessage="0" showErrorMessage="0" allowBlank="1" error="Isi dengan tanggal (dd/mm/yyyy)" type="date" operator="greaterThan">
      <formula1>44927</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sheetPr>
  <dimension ref="A1:H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70" customWidth="1" min="3" max="3"/>
    <col width="34" customWidth="1" min="4" max="4"/>
    <col width="24" customWidth="1" min="5" max="5"/>
    <col width="10" customWidth="1" min="6" max="6"/>
    <col width="12" customWidth="1" min="7" max="7"/>
    <col width="34" customWidth="1" min="8" max="8"/>
  </cols>
  <sheetData>
    <row r="1">
      <c r="A1" s="3" t="inlineStr">
        <is>
          <t>ID</t>
        </is>
      </c>
      <c r="B1" s="3" t="inlineStr">
        <is>
          <t>Prioritas</t>
        </is>
      </c>
      <c r="C1" s="3" t="inlineStr">
        <is>
          <t>Masalah</t>
        </is>
      </c>
      <c r="D1" s="3" t="inlineStr">
        <is>
          <t>Lokasi Kode</t>
        </is>
      </c>
      <c r="E1" s="3" t="inlineStr">
        <is>
          <t>Test Case Terkait</t>
        </is>
      </c>
      <c r="F1" s="3" t="inlineStr">
        <is>
          <t>Sudah Dicek</t>
        </is>
      </c>
      <c r="G1" s="3" t="inlineStr">
        <is>
          <t>Terbukti?</t>
        </is>
      </c>
      <c r="H1" s="3" t="inlineStr">
        <is>
          <t>Catatan</t>
        </is>
      </c>
    </row>
    <row r="2">
      <c r="A2" s="24" t="inlineStr">
        <is>
          <t>BUG-01</t>
        </is>
      </c>
      <c r="B2" s="28" t="inlineStr">
        <is>
          <t>Kritis</t>
        </is>
      </c>
      <c r="C2" s="21" t="inlineStr">
        <is>
          <t>Webhook pembayaran menerima request tanpa signature_key (verifikasi hanya jalan kalau field itu dikirim). Jika transaction_status kosong, nilai default-nya settlement. Siapa pun yang tahu order_id bisa menandai pesanan lunas dengan POST /api/payment/webhook {"order_id":"..."}.</t>
        </is>
      </c>
      <c r="D2" s="21" t="inlineStr">
        <is>
          <t>UserDashboardController@paymentWebhook</t>
        </is>
      </c>
      <c r="E2" s="21" t="inlineStr">
        <is>
          <t>PAY-05, PAY-06</t>
        </is>
      </c>
      <c r="F2" s="25" t="n"/>
      <c r="G2" s="25" t="n"/>
      <c r="H2" s="26" t="n"/>
    </row>
    <row r="3">
      <c r="A3" s="24" t="inlineStr">
        <is>
          <t>BUG-02</t>
        </is>
      </c>
      <c r="B3" s="28" t="inlineStr">
        <is>
          <t>Kritis</t>
        </is>
      </c>
      <c r="C3" s="21" t="inlineStr">
        <is>
          <t>Akun yang dinonaktifkan/diblokir (status = inactive) tetap bisa login. Status tidak dicek di login penumpang, login petugas, maupun login Google.</t>
        </is>
      </c>
      <c r="D3" s="21" t="inlineStr">
        <is>
          <t>Auth/LoginController, Auth/UserLoginController, Auth/GoogleLoginController</t>
        </is>
      </c>
      <c r="E3" s="21" t="inlineStr">
        <is>
          <t>AUTH-09, AUTH-16, ADM-USR-07, ADM-STF-06</t>
        </is>
      </c>
      <c r="F3" s="25" t="n"/>
      <c r="G3" s="25" t="n"/>
      <c r="H3" s="26" t="n"/>
    </row>
    <row r="4">
      <c r="A4" s="24" t="inlineStr">
        <is>
          <t>BUG-03</t>
        </is>
      </c>
      <c r="B4" s="28" t="inlineStr">
        <is>
          <t>Kritis (terkonfirmasi)</t>
        </is>
      </c>
      <c r="C4" s="21" t="inlineStr">
        <is>
          <t>Kode akses staf dari form Kelola Staff disimpan plaintext, padahal login memakai Hash::check. Login staf baru itu menghasilkan error 500 (RuntimeException: This password does not use the Bcrypt algorithm). Staf yang dibuat tanpa kode akses tidak bisa login sama sekali.</t>
        </is>
      </c>
      <c r="D4" s="21" t="inlineStr">
        <is>
          <t>AdminDashboardController@storeStaff/updateStaff</t>
        </is>
      </c>
      <c r="E4" s="21" t="inlineStr">
        <is>
          <t>ADM-STF-02, ADM-STF-03</t>
        </is>
      </c>
      <c r="F4" s="25" t="n"/>
      <c r="G4" s="25" t="n"/>
      <c r="H4" s="26" t="n"/>
    </row>
    <row r="5">
      <c r="A5" s="24" t="inlineStr">
        <is>
          <t>BUG-04</t>
        </is>
      </c>
      <c r="B5" s="28" t="inlineStr">
        <is>
          <t>Kritis</t>
        </is>
      </c>
      <c r="C5" s="21" t="inlineStr">
        <is>
          <t>Driver yang dibuat lewat Kelola Driver tidak diberi kode akses, jadi tidak bisa login.</t>
        </is>
      </c>
      <c r="D5" s="21" t="inlineStr">
        <is>
          <t>AdminDashboardController@storeDriver</t>
        </is>
      </c>
      <c r="E5" s="21" t="inlineStr">
        <is>
          <t>ADM-DRV-02</t>
        </is>
      </c>
      <c r="F5" s="25" t="n"/>
      <c r="G5" s="25" t="n"/>
      <c r="H5" s="26" t="n"/>
    </row>
    <row r="6">
      <c r="A6" s="24" t="inlineStr">
        <is>
          <t>BUG-05</t>
        </is>
      </c>
      <c r="B6" s="28" t="inlineStr">
        <is>
          <t>Kritis</t>
        </is>
      </c>
      <c r="C6" s="21" t="inlineStr">
        <is>
          <t>Seat map dan proses kunci kursi hanya menganggap status paid/confirmed/success/lunas sebagai terisi. Kursi milik booking checked_in (penumpang yang sudah check-in mandiri) tampil kosong dan bisa dipesan orang lain sehingga terjadi double booking. Di SQLite, booking manual berstatus Paid/Pending (huruf kapital) juga lolos dari pengecekan.</t>
        </is>
      </c>
      <c r="D6" s="21" t="inlineStr">
        <is>
          <t>UserDashboardController@lockSeats, buildSeatOccupancyMap</t>
        </is>
      </c>
      <c r="E6" s="21" t="inlineStr">
        <is>
          <t>USR-BK-09, X-03</t>
        </is>
      </c>
      <c r="F6" s="25" t="n"/>
      <c r="G6" s="25" t="n"/>
      <c r="H6" s="26" t="n"/>
    </row>
    <row r="7">
      <c r="A7" s="24" t="inlineStr">
        <is>
          <t>BUG-06</t>
        </is>
      </c>
      <c r="B7" s="28" t="inlineStr">
        <is>
          <t>Kritis</t>
        </is>
      </c>
      <c r="C7" s="21" t="inlineStr">
        <is>
          <t>Endpoint aksi driver tidak mengecek kepemilikan jadwal. Driver A bisa mengubah status trip, GPS, laporan, dan SOS jadwal driver lain, serta check-in penumpang mana pun. Dengan mark_paid=1, driver bisa membuat booking belum bayar menjadi confirmed.</t>
        </is>
      </c>
      <c r="D7" s="21" t="inlineStr">
        <is>
          <t>DriverDashboardController@updateTripStatus/updateGps/updateCheckin/reportIncident/triggerSos</t>
        </is>
      </c>
      <c r="E7" s="21" t="inlineStr">
        <is>
          <t>DRV-12, DRV-13</t>
        </is>
      </c>
      <c r="F7" s="25" t="n"/>
      <c r="G7" s="25" t="n"/>
      <c r="H7" s="26" t="n"/>
    </row>
    <row r="8">
      <c r="A8" s="24" t="inlineStr">
        <is>
          <t>BUG-07</t>
        </is>
      </c>
      <c r="B8" s="29" t="inlineStr">
        <is>
          <t>Tinggi</t>
        </is>
      </c>
      <c r="C8" s="21" t="inlineStr">
        <is>
          <t>Voucher dompet (KOMPENSASI50, WELCOME2026, SUPERDISCOUNT) lolos validasi promo tapi diskonnya tidak diterapkan saat data disimpan. HEMATLIBURAN diterapkan tanpa cek rute. Voucher tidak pernah ditandai terpakai sehingga bisa dipakai berulang, dan voucher kedaluwarsa bisa diklaim ulang tanpa batas.</t>
        </is>
      </c>
      <c r="D8" s="21" t="inlineStr">
        <is>
          <t>savePassengerData, claimVoucher</t>
        </is>
      </c>
      <c r="E8" s="21" t="inlineStr">
        <is>
          <t>USR-BK-14, USR-BK-15, USR-PR-05</t>
        </is>
      </c>
      <c r="F8" s="25" t="n"/>
      <c r="G8" s="25" t="n"/>
      <c r="H8" s="26" t="n"/>
    </row>
    <row r="9">
      <c r="A9" s="24" t="inlineStr">
        <is>
          <t>BUG-08</t>
        </is>
      </c>
      <c r="B9" s="29" t="inlineStr">
        <is>
          <t>Tinggi</t>
        </is>
      </c>
      <c r="C9" s="21" t="inlineStr">
        <is>
          <t>Check-in mandiri penumpang tidak mengecek status. Booking pending (belum bayar) atau tiket cancelled tetap bisa di-check-in, dan booking pending bisa langsung dibuatkan tiket.</t>
        </is>
      </c>
      <c r="D9" s="21" t="inlineStr">
        <is>
          <t>checkInTicket</t>
        </is>
      </c>
      <c r="E9" s="21" t="inlineStr">
        <is>
          <t>USR-TK-04, USR-TK-05</t>
        </is>
      </c>
      <c r="F9" s="25" t="n"/>
      <c r="G9" s="25" t="n"/>
      <c r="H9" s="26" t="n"/>
    </row>
    <row r="10">
      <c r="A10" s="24" t="inlineStr">
        <is>
          <t>BUG-09</t>
        </is>
      </c>
      <c r="B10" s="29" t="inlineStr">
        <is>
          <t>Tinggi</t>
        </is>
      </c>
      <c r="C10" s="21" t="inlineStr">
        <is>
          <t>Refund dari penumpang berstatus Diajukan, tapi admin dan CS hanya menghitung Menunggu/Pending. Akibatnya: (a) counter refund pending tidak bertambah, (b) admin bisa membuat refund ganda untuk booking yang sama, (c) kalau admin menolak refund penumpang, booking tetap batal dan kursi sudah dilepas, padahal pesan sistem bilang "tiket tetap aktif".</t>
        </is>
      </c>
      <c r="D10" s="21" t="inlineStr">
        <is>
          <t>submitRefund, refundIndex, storeRefund, rejectRefund, CustomerServiceDashboardController@index</t>
        </is>
      </c>
      <c r="E10" s="21" t="inlineStr">
        <is>
          <t>ADM-RF-03, ADM-RF-07, CS-03</t>
        </is>
      </c>
      <c r="F10" s="25" t="n"/>
      <c r="G10" s="25" t="n"/>
      <c r="H10" s="26" t="n"/>
    </row>
    <row r="11">
      <c r="A11" s="24" t="inlineStr">
        <is>
          <t>BUG-10</t>
        </is>
      </c>
      <c r="B11" s="29" t="inlineStr">
        <is>
          <t>Tinggi</t>
        </is>
      </c>
      <c r="C11" s="21" t="inlineStr">
        <is>
          <t>Approve pembayaran manual tidak mengecek status booking atau bentrok kursi, sehingga booking yang sudah batal/kedaluwarsa bisa hidup lagi walau kursinya sudah dipakai orang lain. Reject pada pembayaran yang sudah lunas ikut membatalkan booking lunas.</t>
        </is>
      </c>
      <c r="D11" s="21" t="inlineStr">
        <is>
          <t>verifyPayment</t>
        </is>
      </c>
      <c r="E11" s="21" t="inlineStr">
        <is>
          <t>ADM-PAY-05, ADM-PAY-06</t>
        </is>
      </c>
      <c r="F11" s="25" t="n"/>
      <c r="G11" s="25" t="n"/>
      <c r="H11" s="26" t="n"/>
    </row>
    <row r="12">
      <c r="A12" s="24" t="inlineStr">
        <is>
          <t>BUG-11</t>
        </is>
      </c>
      <c r="B12" s="29" t="inlineStr">
        <is>
          <t>Tinggi</t>
        </is>
      </c>
      <c r="C12" s="21" t="inlineStr">
        <is>
          <t>Sinkron gateway dengan status expire mengubah booking menjadi Expired, tapi perhitungan sisa kursi hanya mengecualikan cancelled, jadi kursi tidak pernah dilepas.</t>
        </is>
      </c>
      <c r="D12" s="21" t="inlineStr">
        <is>
          <t>syncGatewayStatus, Schedule::recalculateAvailableSeats</t>
        </is>
      </c>
      <c r="E12" s="21" t="inlineStr">
        <is>
          <t>ADM-PAY-09</t>
        </is>
      </c>
      <c r="F12" s="25" t="n"/>
      <c r="G12" s="25" t="n"/>
      <c r="H12" s="26" t="n"/>
    </row>
    <row r="13">
      <c r="A13" s="24" t="inlineStr">
        <is>
          <t>BUG-12</t>
        </is>
      </c>
      <c r="B13" s="29" t="inlineStr">
        <is>
          <t>Tinggi</t>
        </is>
      </c>
      <c r="C13" s="21" t="inlineStr">
        <is>
          <t>Menghapus kendaraan yang punya jadwal lampau atau selesai menghasilkan error 500 (foreign key restrictOnDelete di schedules.vehicle_id dan booking_passengers.seat_id).</t>
        </is>
      </c>
      <c r="D13" s="21" t="inlineStr">
        <is>
          <t>destroyVehicle</t>
        </is>
      </c>
      <c r="E13" s="21" t="inlineStr">
        <is>
          <t>ADM-VH-07</t>
        </is>
      </c>
      <c r="F13" s="25" t="n"/>
      <c r="G13" s="25" t="n"/>
      <c r="H13" s="26" t="n"/>
    </row>
    <row r="14">
      <c r="A14" s="24" t="inlineStr">
        <is>
          <t>BUG-13</t>
        </is>
      </c>
      <c r="B14" s="29" t="inlineStr">
        <is>
          <t>Tinggi</t>
        </is>
      </c>
      <c r="C14" s="21" t="inlineStr">
        <is>
          <t>Mengganti armada pada jadwal yang sudah punya penumpang membuat kursi penumpang tetap menunjuk kursi armada lama. Tidak ada cek bentrok armada/sopir seperti di "Tambah Jadwal", begitu juga di "Generate Jadwal Massal".</t>
        </is>
      </c>
      <c r="D14" s="21" t="inlineStr">
        <is>
          <t>assignScheduleVehicleDriver, batchGenerateSchedules</t>
        </is>
      </c>
      <c r="E14" s="21" t="inlineStr">
        <is>
          <t>ADM-SC-06b, ADM-SC-08</t>
        </is>
      </c>
      <c r="F14" s="25" t="n"/>
      <c r="G14" s="25" t="n"/>
      <c r="H14" s="26" t="n"/>
    </row>
    <row r="15">
      <c r="A15" s="24" t="inlineStr">
        <is>
          <t>BUG-14</t>
        </is>
      </c>
      <c r="B15" s="30" t="inlineStr">
        <is>
          <t>Sedang</t>
        </is>
      </c>
      <c r="C15" s="21" t="inlineStr">
        <is>
          <t>Mengubah status jadwal ke Cancelled tidak membatalkan booking, tidak membuat refund, dan tidak memberi notifikasi ke penumpang.</t>
        </is>
      </c>
      <c r="D15" s="21" t="inlineStr">
        <is>
          <t>updateScheduleStatus</t>
        </is>
      </c>
      <c r="E15" s="21" t="inlineStr">
        <is>
          <t>ADM-SC-10</t>
        </is>
      </c>
      <c r="F15" s="25" t="n"/>
      <c r="G15" s="25" t="n"/>
      <c r="H15" s="26" t="n"/>
    </row>
    <row r="16">
      <c r="A16" s="24" t="inlineStr">
        <is>
          <t>BUG-15</t>
        </is>
      </c>
      <c r="B16" s="30" t="inlineStr">
        <is>
          <t>Sedang</t>
        </is>
      </c>
      <c r="C16" s="21" t="inlineStr">
        <is>
          <t>Reschedule tidak mengecek bahwa kursi baru milik armada jadwal baru, mengizinkan jadwal tujuan yang sudah lewat/dibatalkan, tidak menghitung selisih harga, dan PUT tetap jalan untuk booking yang sudah batal (yang diblokir hanya form-nya).</t>
        </is>
      </c>
      <c r="D16" s="21" t="inlineStr">
        <is>
          <t>updateRescheduleBooking</t>
        </is>
      </c>
      <c r="E16" s="21" t="inlineStr">
        <is>
          <t>ADM-BK-10, ADM-BK-11</t>
        </is>
      </c>
      <c r="F16" s="25" t="n"/>
      <c r="G16" s="25" t="n"/>
      <c r="H16" s="26" t="n"/>
    </row>
    <row r="17">
      <c r="A17" s="24" t="inlineStr">
        <is>
          <t>BUG-16</t>
        </is>
      </c>
      <c r="B17" s="30" t="inlineStr">
        <is>
          <t>Sedang</t>
        </is>
      </c>
      <c r="C17" s="21" t="inlineStr">
        <is>
          <t>Booking manual memakai harga rute, bukan harga jadwal/akhir pekan seperti di online. Tidak ada cek bahwa kursi milik armada jadwal. Pencarian pelanggan berdasarkan nomor HP tidak memfilter role, sehingga booking bisa menempel ke akun staf/driver.</t>
        </is>
      </c>
      <c r="D17" s="21" t="inlineStr">
        <is>
          <t>storeManualBooking</t>
        </is>
      </c>
      <c r="E17" s="21" t="inlineStr">
        <is>
          <t>ADM-BK-05, ADM-BK-06</t>
        </is>
      </c>
      <c r="F17" s="25" t="n"/>
      <c r="G17" s="25" t="n"/>
      <c r="H17" s="26" t="n"/>
    </row>
    <row r="18">
      <c r="A18" s="24" t="inlineStr">
        <is>
          <t>BUG-17</t>
        </is>
      </c>
      <c r="B18" s="30" t="inlineStr">
        <is>
          <t>Sedang</t>
        </is>
      </c>
      <c r="C18" s="21" t="inlineStr">
        <is>
          <t>Validasi tiket oleh staf: penumpang yang sudah check-in mandiri (checked_in) mendapat pesan "Tiket belum lunas". Hak akses staf (permissions) tidak pernah ditegakkan. Update boarding dengan ID penumpang yang tidak ada tetap success: true. Kode demo TKV-… mengembalikan hasil palsu.</t>
        </is>
      </c>
      <c r="D18" s="21" t="inlineStr">
        <is>
          <t>AdminBiasaDashboardController</t>
        </is>
      </c>
      <c r="E18" s="21" t="inlineStr">
        <is>
          <t>STF-VT-08, STF-VT-12, STF-VT-13, STF-05</t>
        </is>
      </c>
      <c r="F18" s="25" t="n"/>
      <c r="G18" s="25" t="n"/>
      <c r="H18" s="26" t="n"/>
    </row>
    <row r="19">
      <c r="A19" s="24" t="inlineStr">
        <is>
          <t>BUG-18</t>
        </is>
      </c>
      <c r="B19" s="30" t="inlineStr">
        <is>
          <t>Sedang</t>
        </is>
      </c>
      <c r="C19" s="21" t="inlineStr">
        <is>
          <t>Driver menekan "Selesai" lalu semua booking non-batal di jadwal itu, termasuk yang belum bayar, menjadi completed dan dihitung lunas. Urutan status trip juga tidak dipaksa (bisa langsung completed).</t>
        </is>
      </c>
      <c r="D19" s="21" t="inlineStr">
        <is>
          <t>updateTripStatus</t>
        </is>
      </c>
      <c r="E19" s="21" t="inlineStr">
        <is>
          <t>DRV-08, DRV-09</t>
        </is>
      </c>
      <c r="F19" s="25" t="n"/>
      <c r="G19" s="25" t="n"/>
      <c r="H19" s="26" t="n"/>
    </row>
    <row r="20">
      <c r="A20" s="24" t="inlineStr">
        <is>
          <t>BUG-19</t>
        </is>
      </c>
      <c r="B20" s="30" t="inlineStr">
        <is>
          <t>Sedang</t>
        </is>
      </c>
      <c r="C20" s="21" t="inlineStr">
        <is>
          <t>save-passenger dan /api/payment/charge pada booking yang sudah lunas me-reset data pembayaran ke pending.</t>
        </is>
      </c>
      <c r="D20" s="21" t="inlineStr">
        <is>
          <t>savePassengerData, apiChargePayment</t>
        </is>
      </c>
      <c r="E20" s="21" t="inlineStr">
        <is>
          <t>USR-BK-18</t>
        </is>
      </c>
      <c r="F20" s="25" t="n"/>
      <c r="G20" s="25" t="n"/>
      <c r="H20" s="26" t="n"/>
    </row>
    <row r="21">
      <c r="A21" s="24" t="inlineStr">
        <is>
          <t>BUG-20</t>
        </is>
      </c>
      <c r="B21" s="30" t="inlineStr">
        <is>
          <t>Sedang</t>
        </is>
      </c>
      <c r="C21" s="21" t="inlineStr">
        <is>
          <t>Pemilihan kursi/lock kursi lewat URL langsung tidak mengecek jadwal batal atau sudah berangkat.</t>
        </is>
      </c>
      <c r="D21" s="21" t="inlineStr">
        <is>
          <t>selectSeat, lockSeats</t>
        </is>
      </c>
      <c r="E21" s="21" t="inlineStr">
        <is>
          <t>USR-BK-10</t>
        </is>
      </c>
      <c r="F21" s="25" t="n"/>
      <c r="G21" s="25" t="n"/>
      <c r="H21" s="26" t="n"/>
    </row>
    <row r="22">
      <c r="A22" s="24" t="inlineStr">
        <is>
          <t>BUG-21</t>
        </is>
      </c>
      <c r="B22" s="30" t="inlineStr">
        <is>
          <t>Sedang</t>
        </is>
      </c>
      <c r="C22" s="21" t="inlineStr">
        <is>
          <t>Menghapus akun pelanggan ikut menghapus semua booking, refund, dan pembayarannya (cascade), sehingga laporan keuangan berubah.</t>
        </is>
      </c>
      <c r="D22" s="21" t="inlineStr">
        <is>
          <t>destroyUser + migrasi</t>
        </is>
      </c>
      <c r="E22" s="21" t="inlineStr">
        <is>
          <t>ADM-USR-09</t>
        </is>
      </c>
      <c r="F22" s="25" t="n"/>
      <c r="G22" s="25" t="n"/>
      <c r="H22" s="26" t="n"/>
    </row>
    <row r="23">
      <c r="A23" s="24" t="inlineStr">
        <is>
          <t>BUG-22</t>
        </is>
      </c>
      <c r="B23" s="31" t="inlineStr">
        <is>
          <t>Rendah</t>
        </is>
      </c>
      <c r="C23" s="21" t="inlineStr">
        <is>
          <t>Test otomatis flaky (lihat 1.4). ensureUserPresets() hanya jalan saat unit test, jadi perilaku saat test berbeda dengan aplikasi asli.</t>
        </is>
      </c>
      <c r="D23" s="21" t="inlineStr">
        <is>
          <t>UserBookingTransactionFlowTest, ensureUserPresets</t>
        </is>
      </c>
      <c r="E23" s="21" t="inlineStr">
        <is>
          <t>—</t>
        </is>
      </c>
      <c r="F23" s="25" t="n"/>
      <c r="G23" s="25" t="n"/>
      <c r="H23" s="26" t="n"/>
    </row>
    <row r="24">
      <c r="A24" s="24" t="inlineStr">
        <is>
          <t>BUG-23</t>
        </is>
      </c>
      <c r="B24" s="31" t="inlineStr">
        <is>
          <t>Rendah</t>
        </is>
      </c>
      <c r="C24" s="21" t="inlineStr">
        <is>
          <t>Ulasan bisa dikirim untuk booking yang belum jalan, belum bayar, atau batal.</t>
        </is>
      </c>
      <c r="D24" s="21" t="inlineStr">
        <is>
          <t>submitReview</t>
        </is>
      </c>
      <c r="E24" s="21" t="inlineStr">
        <is>
          <t>USR-TK-12</t>
        </is>
      </c>
      <c r="F24" s="25" t="n"/>
      <c r="G24" s="25" t="n"/>
      <c r="H24" s="26" t="n"/>
    </row>
    <row r="25">
      <c r="A25" s="24" t="inlineStr">
        <is>
          <t>BUG-24</t>
        </is>
      </c>
      <c r="B25" s="31" t="inlineStr">
        <is>
          <t>Rendah</t>
        </is>
      </c>
      <c r="C25" s="21" t="inlineStr">
        <is>
          <t>UserSeeder (role admin) tidak dipanggil DatabaseSeeder, dan role admin/customer_service diizinkan route tapi tidak bisa dipilih di form login.</t>
        </is>
      </c>
      <c r="D25" s="21" t="inlineStr">
        <is>
          <t>LoginController, seeder</t>
        </is>
      </c>
      <c r="E25" s="21" t="inlineStr">
        <is>
          <t>AUTH-14</t>
        </is>
      </c>
      <c r="F25" s="25" t="n"/>
      <c r="G25" s="25" t="n"/>
      <c r="H25" s="26" t="n"/>
    </row>
  </sheetData>
  <autoFilter ref="A1:H25"/>
  <conditionalFormatting sqref="G2:G25">
    <cfRule type="expression" priority="1" dxfId="1">
      <formula>$G2="Ya"</formula>
    </cfRule>
    <cfRule type="expression" priority="2" dxfId="0">
      <formula>$G2="Tidak"</formula>
    </cfRule>
  </conditionalFormatting>
  <dataValidations count="2">
    <dataValidation sqref="F2:F25" showDropDown="0" showInputMessage="0" showErrorMessage="0" allowBlank="1" type="list">
      <formula1>"✔"</formula1>
    </dataValidation>
    <dataValidation sqref="G2:G25" showDropDown="0" showInputMessage="0" showErrorMessage="0" allowBlank="1" promptTitle="Terbukti?" prompt="Ya = bug benar terjadi, Tidak = tidak terjadi" type="list">
      <formula1>"Ya,Tidak"</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2026-10-15T00:28:44Z</dcterms:created>
  <dcterms:modified xsi:type="dcterms:W3CDTF">2026-10-15T00:28:44Z</dcterms:modified>
</cp:coreProperties>
</file>